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wonyeong\Anti Project\2\"/>
    </mc:Choice>
  </mc:AlternateContent>
  <xr:revisionPtr revIDLastSave="0" documentId="13_ncr:1_{8B17240B-99C9-4DE0-9435-AA5A79360B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음식DB" sheetId="3" r:id="rId1"/>
    <sheet name="요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B23" i="2"/>
  <c r="B22" i="2"/>
  <c r="B21" i="2"/>
  <c r="B20" i="2"/>
  <c r="B19" i="2"/>
  <c r="B18" i="2"/>
  <c r="B17" i="2"/>
  <c r="B16" i="2"/>
  <c r="B15" i="2"/>
  <c r="B14" i="2"/>
  <c r="H10" i="2"/>
  <c r="E10" i="2"/>
  <c r="H9" i="2"/>
  <c r="E9" i="2"/>
  <c r="H8" i="2"/>
  <c r="E8" i="2"/>
  <c r="H7" i="2"/>
  <c r="E7" i="2"/>
  <c r="B7" i="2"/>
  <c r="H6" i="2"/>
  <c r="E6" i="2"/>
  <c r="B6" i="2"/>
  <c r="H5" i="2"/>
  <c r="E5" i="2"/>
  <c r="B5" i="2"/>
  <c r="H4" i="2"/>
  <c r="E4" i="2"/>
  <c r="B4" i="2"/>
  <c r="B3" i="2"/>
  <c r="Q88" i="3"/>
  <c r="P88" i="3"/>
  <c r="Q87" i="3"/>
  <c r="P87" i="3"/>
  <c r="Q86" i="3"/>
  <c r="P86" i="3"/>
  <c r="Q85" i="3"/>
  <c r="P85" i="3"/>
  <c r="Q84" i="3"/>
  <c r="P84" i="3"/>
  <c r="Q83" i="3"/>
  <c r="P83" i="3"/>
  <c r="Q82" i="3"/>
  <c r="P82" i="3"/>
  <c r="Q81" i="3"/>
  <c r="P81" i="3"/>
  <c r="Q80" i="3"/>
  <c r="P80" i="3"/>
  <c r="Q79" i="3"/>
  <c r="P79" i="3"/>
  <c r="Q78" i="3"/>
  <c r="P78" i="3"/>
  <c r="Q77" i="3"/>
  <c r="P77" i="3"/>
  <c r="Q76" i="3"/>
  <c r="P76" i="3"/>
  <c r="Q75" i="3"/>
  <c r="P75" i="3"/>
  <c r="Q74" i="3"/>
  <c r="P74" i="3"/>
  <c r="Q73" i="3"/>
  <c r="P73" i="3"/>
  <c r="Q72" i="3"/>
  <c r="P72" i="3"/>
  <c r="Q71" i="3"/>
  <c r="P71" i="3"/>
  <c r="Q70" i="3"/>
  <c r="P70" i="3"/>
  <c r="Q69" i="3"/>
  <c r="P69" i="3"/>
  <c r="Q68" i="3"/>
  <c r="P68" i="3"/>
  <c r="Q67" i="3"/>
  <c r="P67" i="3"/>
  <c r="Q66" i="3"/>
  <c r="P66" i="3"/>
  <c r="Q65" i="3"/>
  <c r="P65" i="3"/>
  <c r="Q64" i="3"/>
  <c r="P64" i="3"/>
  <c r="Q63" i="3"/>
  <c r="P63" i="3"/>
  <c r="Q62" i="3"/>
  <c r="P62" i="3"/>
  <c r="Q61" i="3"/>
  <c r="P61" i="3"/>
  <c r="Q60" i="3"/>
  <c r="P60" i="3"/>
  <c r="Q59" i="3"/>
  <c r="P59" i="3"/>
  <c r="Q58" i="3"/>
  <c r="P58" i="3"/>
  <c r="Q57" i="3"/>
  <c r="P57" i="3"/>
  <c r="Q56" i="3"/>
  <c r="P56" i="3"/>
  <c r="Q55" i="3"/>
  <c r="P55" i="3"/>
  <c r="Q54" i="3"/>
  <c r="P54" i="3"/>
  <c r="Q53" i="3"/>
  <c r="P53" i="3"/>
  <c r="Q52" i="3"/>
  <c r="P52" i="3"/>
  <c r="Q51" i="3"/>
  <c r="P51" i="3"/>
  <c r="Q50" i="3"/>
  <c r="P50" i="3"/>
  <c r="Q49" i="3"/>
  <c r="P49" i="3"/>
  <c r="Q48" i="3"/>
  <c r="P48" i="3"/>
  <c r="Q47" i="3"/>
  <c r="P47" i="3"/>
  <c r="Q46" i="3"/>
  <c r="P46" i="3"/>
  <c r="Q45" i="3"/>
  <c r="P45" i="3"/>
  <c r="Q44" i="3"/>
  <c r="P44" i="3"/>
  <c r="Q43" i="3"/>
  <c r="P43" i="3"/>
  <c r="Q42" i="3"/>
  <c r="P42" i="3"/>
  <c r="Q41" i="3"/>
  <c r="P41" i="3"/>
  <c r="Q40" i="3"/>
  <c r="P40" i="3"/>
  <c r="Q39" i="3"/>
  <c r="P39" i="3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Q31" i="3"/>
  <c r="P31" i="3"/>
  <c r="Q30" i="3"/>
  <c r="P30" i="3"/>
  <c r="Q29" i="3"/>
  <c r="P29" i="3"/>
  <c r="Q28" i="3"/>
  <c r="P28" i="3"/>
  <c r="Q27" i="3"/>
  <c r="P27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Q9" i="3"/>
  <c r="P9" i="3"/>
  <c r="Q8" i="3"/>
  <c r="P8" i="3"/>
  <c r="Q7" i="3"/>
  <c r="P7" i="3"/>
  <c r="Q6" i="3"/>
  <c r="P6" i="3"/>
  <c r="Q5" i="3"/>
  <c r="P5" i="3"/>
  <c r="Q4" i="3"/>
  <c r="P4" i="3"/>
  <c r="Q3" i="3"/>
  <c r="P3" i="3"/>
  <c r="Q2" i="3"/>
  <c r="P2" i="3"/>
</calcChain>
</file>

<file path=xl/sharedStrings.xml><?xml version="1.0" encoding="utf-8"?>
<sst xmlns="http://schemas.openxmlformats.org/spreadsheetml/2006/main" count="1124" uniqueCount="341">
  <si>
    <t>카테고리</t>
  </si>
  <si>
    <t>음식</t>
  </si>
  <si>
    <t>음식구분</t>
  </si>
  <si>
    <t>제철</t>
  </si>
  <si>
    <t>재료</t>
  </si>
  <si>
    <t>영양분류</t>
  </si>
  <si>
    <t>주재료분류</t>
  </si>
  <si>
    <t>조리방식</t>
  </si>
  <si>
    <t>조리시간</t>
  </si>
  <si>
    <t>알레르기</t>
  </si>
  <si>
    <t>아침가능</t>
  </si>
  <si>
    <t>점심가능</t>
  </si>
  <si>
    <t>저녁가능</t>
  </si>
  <si>
    <t>비고</t>
  </si>
  <si>
    <t>간단식</t>
  </si>
  <si>
    <t>오트밀 바나나볼</t>
  </si>
  <si>
    <t>사계절</t>
  </si>
  <si>
    <t>오트밀, 우유, 바나나, 견과류</t>
  </si>
  <si>
    <t>탄수화물+식이섬유</t>
  </si>
  <si>
    <t>곡류</t>
  </si>
  <si>
    <t>10분</t>
  </si>
  <si>
    <t>우유, 견과류</t>
  </si>
  <si>
    <t>Y</t>
  </si>
  <si>
    <t>그릭요거트 과일볼</t>
  </si>
  <si>
    <t>그릭요거트, 딸기, 블루베리, 그래놀라</t>
  </si>
  <si>
    <t>단백질+비타민</t>
  </si>
  <si>
    <t>유제품</t>
  </si>
  <si>
    <t>5분</t>
  </si>
  <si>
    <t>우유</t>
  </si>
  <si>
    <t>삶은계란 토스트</t>
  </si>
  <si>
    <t>식빵, 계란, 양상추, 토마토</t>
  </si>
  <si>
    <t>단백질+탄수화물</t>
  </si>
  <si>
    <t>계란</t>
  </si>
  <si>
    <t>15분</t>
  </si>
  <si>
    <t>계란, 밀</t>
  </si>
  <si>
    <t>닭가슴살 샌드위치</t>
  </si>
  <si>
    <t>식빵, 닭가슴살, 양상추, 토마토, 치즈</t>
  </si>
  <si>
    <t>고단백</t>
  </si>
  <si>
    <t>육류</t>
  </si>
  <si>
    <t>밀, 우유</t>
  </si>
  <si>
    <t>계란국과 밥</t>
  </si>
  <si>
    <t>계란, 대파, 밥, 육수</t>
  </si>
  <si>
    <t>가벼운 한식</t>
  </si>
  <si>
    <t>국물</t>
  </si>
  <si>
    <t>누룽지와 김</t>
  </si>
  <si>
    <t>누룽지, 김, 간장</t>
  </si>
  <si>
    <t>가벼운 탄수화물</t>
  </si>
  <si>
    <t>대두</t>
  </si>
  <si>
    <t>두부 샐러드</t>
  </si>
  <si>
    <t>두부, 양상추, 토마토, 오리엔탈드레싱</t>
  </si>
  <si>
    <t>식물성 단백질</t>
  </si>
  <si>
    <t>두부</t>
  </si>
  <si>
    <t>생식</t>
  </si>
  <si>
    <t>참치마요 주먹밥</t>
  </si>
  <si>
    <t>밥, 참치, 김, 마요네즈</t>
  </si>
  <si>
    <t>생선</t>
  </si>
  <si>
    <t>계란, 생선</t>
  </si>
  <si>
    <t>한식</t>
  </si>
  <si>
    <t>김치찌개</t>
  </si>
  <si>
    <t>찌개</t>
  </si>
  <si>
    <t>김치, 돼지고기, 두부</t>
  </si>
  <si>
    <t>단백질+국물</t>
  </si>
  <si>
    <t>30분</t>
  </si>
  <si>
    <t>비빔밥</t>
  </si>
  <si>
    <t>메인반찬</t>
  </si>
  <si>
    <t>밥, 각종 나물, 계란, 다진 소고기</t>
  </si>
  <si>
    <t>균형식</t>
  </si>
  <si>
    <t>밥</t>
  </si>
  <si>
    <t>비빔</t>
  </si>
  <si>
    <t>된장찌개</t>
  </si>
  <si>
    <t>두부, 애호박, 양파, 팽이버섯</t>
  </si>
  <si>
    <t>식물성 단백질+국물</t>
  </si>
  <si>
    <t>25분</t>
  </si>
  <si>
    <t>제육볶음</t>
  </si>
  <si>
    <t>돼지고기, 양파, 대파, 양배추</t>
  </si>
  <si>
    <t>볶음</t>
  </si>
  <si>
    <t>없음</t>
  </si>
  <si>
    <t>삼겹살</t>
  </si>
  <si>
    <t>돼지고기 삼겹살, 마늘, 상추, 깻잎</t>
  </si>
  <si>
    <t>고단백+고지방</t>
  </si>
  <si>
    <t>구이</t>
  </si>
  <si>
    <t>보쌈</t>
  </si>
  <si>
    <t>돼지고기 수육, 배추, 무</t>
  </si>
  <si>
    <t>찜</t>
  </si>
  <si>
    <t>1시간</t>
  </si>
  <si>
    <t>감자탕</t>
  </si>
  <si>
    <t>국/탕</t>
  </si>
  <si>
    <t>겨울</t>
  </si>
  <si>
    <t>돼지등뼈, 감자, 우거지, 깻잎</t>
  </si>
  <si>
    <t>고단백+국물</t>
  </si>
  <si>
    <t>탕</t>
  </si>
  <si>
    <t>부대찌개</t>
  </si>
  <si>
    <t>햄, 소시지, 김치, 라면사리, 대파</t>
  </si>
  <si>
    <t>고열량</t>
  </si>
  <si>
    <t>가공육</t>
  </si>
  <si>
    <t>밀</t>
  </si>
  <si>
    <t>삼계탕</t>
  </si>
  <si>
    <t>여름</t>
  </si>
  <si>
    <t>닭고기, 인삼, 찹쌀, 대추, 마늘</t>
  </si>
  <si>
    <t>고단백+보양식</t>
  </si>
  <si>
    <t>갈비탕</t>
  </si>
  <si>
    <t>소갈비, 당면, 대파, 무</t>
  </si>
  <si>
    <t>국밥</t>
  </si>
  <si>
    <t>돼지고기, 부추, 밥, 파</t>
  </si>
  <si>
    <t>고등어구이</t>
  </si>
  <si>
    <t>9월~11월</t>
  </si>
  <si>
    <t>고등어, 레몬</t>
  </si>
  <si>
    <t>고단백+오메가3</t>
  </si>
  <si>
    <t>20분</t>
  </si>
  <si>
    <t>갈치구이</t>
  </si>
  <si>
    <t>7월~10월</t>
  </si>
  <si>
    <t>갈치</t>
  </si>
  <si>
    <t>삼치구이</t>
  </si>
  <si>
    <t>10월~2월</t>
  </si>
  <si>
    <t>삼치, 레몬</t>
  </si>
  <si>
    <t>임연수구이</t>
  </si>
  <si>
    <t>11월~3월</t>
  </si>
  <si>
    <t>임연수</t>
  </si>
  <si>
    <t>꽁치구이</t>
  </si>
  <si>
    <t>10월~11월</t>
  </si>
  <si>
    <t>꽁치</t>
  </si>
  <si>
    <t>중식</t>
  </si>
  <si>
    <t>짜장면</t>
  </si>
  <si>
    <t>돼지고기, 양파, 양배추, 면</t>
  </si>
  <si>
    <t>탄수화물</t>
  </si>
  <si>
    <t>면</t>
  </si>
  <si>
    <t>짬뽕</t>
  </si>
  <si>
    <t>오징어, 홍합, 새우, 양파, 면</t>
  </si>
  <si>
    <t>해산물+국물</t>
  </si>
  <si>
    <t>해산물</t>
  </si>
  <si>
    <t>새우, 조개류, 밀</t>
  </si>
  <si>
    <t>탕수육</t>
  </si>
  <si>
    <t>돼지고기, 양파, 목이버섯, 당근</t>
  </si>
  <si>
    <t>고단백+튀김</t>
  </si>
  <si>
    <t>튀김</t>
  </si>
  <si>
    <t>40분</t>
  </si>
  <si>
    <t>마파두부</t>
  </si>
  <si>
    <t>두부, 돼지고기 다짐육, 파</t>
  </si>
  <si>
    <t>단백질</t>
  </si>
  <si>
    <t>깐풍기</t>
  </si>
  <si>
    <t>닭고기, 양상추, 피망</t>
  </si>
  <si>
    <t>볶음밥</t>
  </si>
  <si>
    <t>밥, 계란, 파, 새우</t>
  </si>
  <si>
    <t>탄수화물+단백질</t>
  </si>
  <si>
    <t>계란, 새우</t>
  </si>
  <si>
    <t>일식</t>
  </si>
  <si>
    <t>초밥</t>
  </si>
  <si>
    <t>생선, 밥</t>
  </si>
  <si>
    <t>돈카츠</t>
  </si>
  <si>
    <t>돼지고기 등심, 양배추</t>
  </si>
  <si>
    <t>35분</t>
  </si>
  <si>
    <t>밀, 계란</t>
  </si>
  <si>
    <t>라멘</t>
  </si>
  <si>
    <t>라멘 면, 돼지고기 챠슈, 숙주, 반숙란</t>
  </si>
  <si>
    <t>탄수화물+국물</t>
  </si>
  <si>
    <t>우동</t>
  </si>
  <si>
    <t>우동 면, 어묵, 대파, 쑥갓</t>
  </si>
  <si>
    <t>가벼운 국물</t>
  </si>
  <si>
    <t>밀, 생선</t>
  </si>
  <si>
    <t>사케동 (연어덮밥)</t>
  </si>
  <si>
    <t>연어, 밥, 양파</t>
  </si>
  <si>
    <t>덮밥</t>
  </si>
  <si>
    <t>텐동 (튀김덮밥)</t>
  </si>
  <si>
    <t>새우, 단호박, 가지, 밥</t>
  </si>
  <si>
    <t>탄수화물+튀김</t>
  </si>
  <si>
    <t>새우, 밀</t>
  </si>
  <si>
    <t>양식</t>
  </si>
  <si>
    <t>파스타</t>
  </si>
  <si>
    <t>파스타 면, 토마토, 마늘, 베이컨</t>
  </si>
  <si>
    <t>스테이크</t>
  </si>
  <si>
    <t>소고기 안심, 아스파라거스, 방울토마토</t>
  </si>
  <si>
    <t>피자</t>
  </si>
  <si>
    <t>밀가루 도우, 치즈, 페퍼로니, 양송이</t>
  </si>
  <si>
    <t>햄버거</t>
  </si>
  <si>
    <t>소고기 패티, 빵, 양상추, 토마토, 치즈</t>
  </si>
  <si>
    <t>샐러드</t>
  </si>
  <si>
    <t>양상추, 닭가슴살, 방울토마토, 오이</t>
  </si>
  <si>
    <t>저열량+고단백</t>
  </si>
  <si>
    <t>채소</t>
  </si>
  <si>
    <t>리조또</t>
  </si>
  <si>
    <t>쌀, 양송이버섯, 우유, 베이컨</t>
  </si>
  <si>
    <t>분식</t>
  </si>
  <si>
    <t>떡볶이</t>
  </si>
  <si>
    <t>떡, 어묵, 대파, 계란</t>
  </si>
  <si>
    <t>떡</t>
  </si>
  <si>
    <t>김밥</t>
  </si>
  <si>
    <t>밥, 김, 단무지, 계란, 시금치, 햄</t>
  </si>
  <si>
    <t>간편 균형식</t>
  </si>
  <si>
    <t>모둠튀김</t>
  </si>
  <si>
    <t>오징어, 고구마, 새우</t>
  </si>
  <si>
    <t>새우, 오징어, 밀</t>
  </si>
  <si>
    <t>순대</t>
  </si>
  <si>
    <t>돼지 창자, 당면, 돼지 간</t>
  </si>
  <si>
    <t>쫄면</t>
  </si>
  <si>
    <t>쫄면 면, 콩나물, 오이, 계란</t>
  </si>
  <si>
    <t>탄수화물+채소</t>
  </si>
  <si>
    <t>아시안</t>
  </si>
  <si>
    <t>쌀국수</t>
  </si>
  <si>
    <t>쌀국수 면, 소고기, 양파, 숙주</t>
  </si>
  <si>
    <t>국물+단백질</t>
  </si>
  <si>
    <t>팟타이</t>
  </si>
  <si>
    <t>쌀국수 면, 새우, 숙주, 땅콩, 계란</t>
  </si>
  <si>
    <t>새우, 땅콩, 계란</t>
  </si>
  <si>
    <t>카레라이스</t>
  </si>
  <si>
    <t>감자, 당근, 돼지고기, 양파, 밥</t>
  </si>
  <si>
    <t>나시고렝</t>
  </si>
  <si>
    <t>밥, 계란, 새우, 양파, 숙주</t>
  </si>
  <si>
    <t>월남쌈</t>
  </si>
  <si>
    <t>라이스페이퍼, 새우, 닭가슴살, 파프리카, 오이</t>
  </si>
  <si>
    <t>새우</t>
  </si>
  <si>
    <t>소불고기</t>
  </si>
  <si>
    <t>소고기, 양파, 대파, 당근, 간장</t>
  </si>
  <si>
    <t>닭볶음탕</t>
  </si>
  <si>
    <t>닭고기, 감자, 당근, 양파, 대파</t>
  </si>
  <si>
    <t>조림</t>
  </si>
  <si>
    <t>45분</t>
  </si>
  <si>
    <t>갈치조림</t>
  </si>
  <si>
    <t>갈치, 무, 양파, 대파, 고춧가루</t>
  </si>
  <si>
    <t>두부조림</t>
  </si>
  <si>
    <t>두부, 대파, 양파, 간장, 고춧가루</t>
  </si>
  <si>
    <t>계란말이</t>
  </si>
  <si>
    <t>계란, 대파, 당근, 소금</t>
  </si>
  <si>
    <t>부침</t>
  </si>
  <si>
    <t>오징어볶음</t>
  </si>
  <si>
    <t>7월~11월</t>
  </si>
  <si>
    <t>오징어, 양파, 대파, 양배추, 고추장</t>
  </si>
  <si>
    <t>오징어</t>
  </si>
  <si>
    <t>시금치나물</t>
  </si>
  <si>
    <t>밑반찬</t>
  </si>
  <si>
    <t>시금치, 참기름, 마늘, 깨</t>
  </si>
  <si>
    <t>채소+비타민</t>
  </si>
  <si>
    <t>무침</t>
  </si>
  <si>
    <t>참깨</t>
  </si>
  <si>
    <t>콩나물무침</t>
  </si>
  <si>
    <t>콩나물, 대파, 마늘, 참기름</t>
  </si>
  <si>
    <t>식이섬유</t>
  </si>
  <si>
    <t>숙주나물무침</t>
  </si>
  <si>
    <t>숙주, 대파, 마늘, 참기름</t>
  </si>
  <si>
    <t>저열량+식이섬유</t>
  </si>
  <si>
    <t>고사리나물</t>
  </si>
  <si>
    <t>봄</t>
  </si>
  <si>
    <t>고사리, 대파, 마늘, 들기름</t>
  </si>
  <si>
    <t>도라지오이무침</t>
  </si>
  <si>
    <t>도라지, 오이, 고추장, 식초, 깨</t>
  </si>
  <si>
    <t>채소+식이섬유</t>
  </si>
  <si>
    <t>가지나물</t>
  </si>
  <si>
    <t>가지, 대파, 마늘, 간장, 참기름</t>
  </si>
  <si>
    <t>대두, 참깨</t>
  </si>
  <si>
    <t>미역줄기볶음</t>
  </si>
  <si>
    <t>미역줄기, 양파, 당근, 마늘</t>
  </si>
  <si>
    <t>해조류+식이섬유</t>
  </si>
  <si>
    <t>해조류</t>
  </si>
  <si>
    <t>취나물무침</t>
  </si>
  <si>
    <t>취나물, 된장, 마늘, 참기름</t>
  </si>
  <si>
    <t>제철 채소</t>
  </si>
  <si>
    <t>열무된장무침</t>
  </si>
  <si>
    <t>열무, 된장, 마늘, 참기름</t>
  </si>
  <si>
    <t>무생채</t>
  </si>
  <si>
    <t>가을</t>
  </si>
  <si>
    <t>무, 고춧가루, 식초, 설탕, 대파</t>
  </si>
  <si>
    <t>애호박볶음</t>
  </si>
  <si>
    <t>애호박, 양파, 새우젓, 마늘</t>
  </si>
  <si>
    <t>소고기무국</t>
  </si>
  <si>
    <t>소고기, 무, 대파, 마늘</t>
  </si>
  <si>
    <t>미역국</t>
  </si>
  <si>
    <t>미역, 소고기, 마늘, 국간장</t>
  </si>
  <si>
    <t>해조류+국물</t>
  </si>
  <si>
    <t>콩나물국</t>
  </si>
  <si>
    <t>콩나물, 대파, 마늘, 멸치육수</t>
  </si>
  <si>
    <t>대두, 생선</t>
  </si>
  <si>
    <t>북엇국</t>
  </si>
  <si>
    <t>북어, 계란, 대파, 무</t>
  </si>
  <si>
    <t>생선, 계란</t>
  </si>
  <si>
    <t>냉이된장국</t>
  </si>
  <si>
    <t>냉이, 된장, 두부, 대파</t>
  </si>
  <si>
    <t>제철 채소+국물</t>
  </si>
  <si>
    <t>아욱국</t>
  </si>
  <si>
    <t>아욱, 된장, 마늘, 멸치육수</t>
  </si>
  <si>
    <t>청국장찌개</t>
  </si>
  <si>
    <t>청국장, 두부, 김치, 대파</t>
  </si>
  <si>
    <t>발효식품+국물</t>
  </si>
  <si>
    <t>순두부찌개</t>
  </si>
  <si>
    <t>순두부, 계란, 대파, 바지락</t>
  </si>
  <si>
    <t>대두, 계란, 조개류</t>
  </si>
  <si>
    <t>애호박찌개</t>
  </si>
  <si>
    <t>애호박, 돼지고기, 양파, 대파</t>
  </si>
  <si>
    <t>단백질+제철 채소</t>
  </si>
  <si>
    <t>칼국수</t>
  </si>
  <si>
    <t>칼국수 면, 바지락, 애호박, 대파</t>
  </si>
  <si>
    <t>밀, 조개류</t>
  </si>
  <si>
    <t>비빔국수</t>
  </si>
  <si>
    <t>소면, 오이, 계란, 김치</t>
  </si>
  <si>
    <t>물냉면</t>
  </si>
  <si>
    <t>냉면, 오이, 계란, 육수</t>
  </si>
  <si>
    <t>시원한 면요리</t>
  </si>
  <si>
    <t>만둣국</t>
  </si>
  <si>
    <t>만두, 계란, 대파, 육수</t>
  </si>
  <si>
    <t>만두</t>
  </si>
  <si>
    <t>배추김치</t>
  </si>
  <si>
    <t>김치/젓갈/장</t>
  </si>
  <si>
    <t>배추, 고춧가루, 마늘, 젓갈</t>
  </si>
  <si>
    <t>발효식품</t>
  </si>
  <si>
    <t>김치</t>
  </si>
  <si>
    <t>준비식</t>
  </si>
  <si>
    <t>열무김치</t>
  </si>
  <si>
    <t>열무, 고춧가루, 마늘, 생강</t>
  </si>
  <si>
    <t>발효식품+제철 채소</t>
  </si>
  <si>
    <t>깍두기</t>
  </si>
  <si>
    <t>무, 고춧가루, 대파, 젓갈</t>
  </si>
  <si>
    <t>오징어젓갈</t>
  </si>
  <si>
    <t>오징어젓갈, 참기름, 깨</t>
  </si>
  <si>
    <t>젓갈</t>
  </si>
  <si>
    <t>오징어, 참깨</t>
  </si>
  <si>
    <t>깻잎장아찌</t>
  </si>
  <si>
    <t>깻잎, 간장, 마늘, 고춧가루</t>
  </si>
  <si>
    <t>장아찌</t>
  </si>
  <si>
    <t>절임</t>
  </si>
  <si>
    <t>식단 데이터 관리 요약</t>
  </si>
  <si>
    <t>총 음식 수</t>
  </si>
  <si>
    <t>카테고리별 개수</t>
  </si>
  <si>
    <t>개수</t>
  </si>
  <si>
    <t>음식구분별 개수</t>
  </si>
  <si>
    <t>한식 항목 수</t>
  </si>
  <si>
    <t>아침 가능</t>
  </si>
  <si>
    <t>점심 가능</t>
  </si>
  <si>
    <t>저녁 가능</t>
  </si>
  <si>
    <t>제철 구분</t>
  </si>
  <si>
    <t>식사구분 자동</t>
  </si>
  <si>
    <t>data.js 복사용</t>
  </si>
  <si>
    <t>data.js 복사 사용 방법</t>
  </si>
  <si>
    <t>1</t>
  </si>
  <si>
    <t>음식DB 시트에서 카테고리~알레르기 정보를 입력합니다.</t>
  </si>
  <si>
    <t>2</t>
  </si>
  <si>
    <t>아침가능/점심가능/저녁가능 열에는 해당 식사에 사용 가능할 때만 Y를 입력하고, 아니면 빈칸으로 둡니다.</t>
  </si>
  <si>
    <t>3</t>
  </si>
  <si>
    <t>P열 식사구분 자동에는 Y 입력값에 따라 아침, 점심, 저녁이 자동 표시됩니다.</t>
  </si>
  <si>
    <t>4</t>
  </si>
  <si>
    <t>Q열 data.js 복사용 값을 복사하여 data.js의 foodData 배열 안에 붙여넣으면 됩니다.</t>
  </si>
  <si>
    <t>예시</t>
  </si>
  <si>
    <t>아침가능=Y, 점심가능=Y, 저녁가능 빈칸 → 식사구분: ["아침", "점심"]</t>
  </si>
  <si>
    <t>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</si>
</sst>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3" fillId="4" borderId="0" xfId="1" applyFont="1" applyFill="1" applyAlignment="1">
      <alignment wrapText="1"/>
    </xf>
    <xf numFmtId="0" fontId="3" fillId="0" borderId="0" xfId="1" applyFont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1" applyFont="1" applyFill="1" applyAlignment="1">
      <alignment horizontal="center" wrapText="1"/>
    </xf>
    <xf numFmtId="0" fontId="1" fillId="6" borderId="0" xfId="0" applyNumberFormat="1" applyFont="1" applyFill="1" applyBorder="1" applyAlignment="1">
      <alignment horizontal="center" wrapText="1"/>
    </xf>
    <xf numFmtId="0" fontId="1" fillId="5" borderId="0" xfId="0" applyNumberFormat="1" applyFont="1" applyFill="1" applyBorder="1" applyAlignment="1">
      <alignment horizontal="center" vertical="center"/>
    </xf>
    <xf numFmtId="0" fontId="6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카테고리별 음식 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개수</c:v>
          </c:tx>
          <c:invertIfNegative val="1"/>
          <c:cat>
            <c:strRef>
              <c:f>요약!$D$4:$D$10</c:f>
              <c:strCache>
                <c:ptCount val="7"/>
                <c:pt idx="0">
                  <c:v>간단식</c:v>
                </c:pt>
                <c:pt idx="1">
                  <c:v>분식</c:v>
                </c:pt>
                <c:pt idx="2">
                  <c:v>아시안</c:v>
                </c:pt>
                <c:pt idx="3">
                  <c:v>양식</c:v>
                </c:pt>
                <c:pt idx="4">
                  <c:v>일식</c:v>
                </c:pt>
                <c:pt idx="5">
                  <c:v>중식</c:v>
                </c:pt>
                <c:pt idx="6">
                  <c:v>한식</c:v>
                </c:pt>
              </c:strCache>
            </c:strRef>
          </c:cat>
          <c:val>
            <c:numRef>
              <c:f>요약!$E$4:$E$10</c:f>
              <c:numCache>
                <c:formatCode>General</c:formatCode>
                <c:ptCount val="7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4-4482-8923-3B80EE998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음식구분별 음식 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개수</c:v>
          </c:tx>
          <c:invertIfNegative val="1"/>
          <c:cat>
            <c:strRef>
              <c:f>요약!$G$4:$G$10</c:f>
              <c:strCache>
                <c:ptCount val="7"/>
                <c:pt idx="0">
                  <c:v>간단식</c:v>
                </c:pt>
                <c:pt idx="1">
                  <c:v>국/탕</c:v>
                </c:pt>
                <c:pt idx="2">
                  <c:v>김치/젓갈/장</c:v>
                </c:pt>
                <c:pt idx="3">
                  <c:v>메인반찬</c:v>
                </c:pt>
                <c:pt idx="4">
                  <c:v>면</c:v>
                </c:pt>
                <c:pt idx="5">
                  <c:v>밑반찬</c:v>
                </c:pt>
                <c:pt idx="6">
                  <c:v>찌개</c:v>
                </c:pt>
              </c:strCache>
            </c:strRef>
          </c:cat>
          <c:val>
            <c:numRef>
              <c:f>요약!$H$4:$H$10</c:f>
              <c:numCache>
                <c:formatCode>General</c:formatCode>
                <c:ptCount val="7"/>
                <c:pt idx="0">
                  <c:v>8</c:v>
                </c:pt>
                <c:pt idx="1">
                  <c:v>10</c:v>
                </c:pt>
                <c:pt idx="2">
                  <c:v>5</c:v>
                </c:pt>
                <c:pt idx="3">
                  <c:v>38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5-4ABC-9C35-415E4CB06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5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11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7224-2274-48B3-A02B-81F627BF3E20}">
  <dimension ref="B1:Q88"/>
  <sheetViews>
    <sheetView tabSelected="1" workbookViewId="0"/>
  </sheetViews>
  <sheetFormatPr defaultRowHeight="14.25"/>
  <cols>
    <col min="3" max="3" width="17.75" bestFit="1" customWidth="1"/>
    <col min="4" max="4" width="12.125" bestFit="1" customWidth="1"/>
    <col min="5" max="5" width="10.375" bestFit="1" customWidth="1"/>
    <col min="6" max="6" width="42.5" bestFit="1" customWidth="1"/>
    <col min="7" max="7" width="19" bestFit="1" customWidth="1"/>
    <col min="8" max="8" width="11" bestFit="1" customWidth="1"/>
    <col min="11" max="11" width="17.375" bestFit="1" customWidth="1"/>
    <col min="15" max="15" width="5.25" bestFit="1" customWidth="1"/>
    <col min="16" max="16" width="15.25" bestFit="1" customWidth="1"/>
    <col min="17" max="17" width="233" bestFit="1" customWidth="1"/>
  </cols>
  <sheetData>
    <row r="1" spans="2:17" ht="1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327</v>
      </c>
      <c r="Q1" s="8" t="s">
        <v>328</v>
      </c>
    </row>
    <row r="2" spans="2:17"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14</v>
      </c>
      <c r="J2" t="s">
        <v>20</v>
      </c>
      <c r="K2" t="s">
        <v>21</v>
      </c>
      <c r="L2" t="s">
        <v>22</v>
      </c>
      <c r="P2" t="str">
        <f>IF($C2="","",_xlfn.TEXTJOIN(", ",TRUE,IF(UPPER(TRIM($L2))="Y","아침",""),IF(UPPER(TRIM($M2))="Y","점심",""),IF(UPPER(TRIM($N2))="Y","저녁","")))</f>
        <v>아침</v>
      </c>
      <c r="Q2" t="str">
        <f>IF($C2="","","{ 카테고리: """&amp;$B2&amp;""", 음식: """&amp;$C2&amp;""", 음식구분: """&amp;$D2&amp;""", 제철: """&amp;$E2&amp;""", 재료: """&amp;$F2&amp;""", 식사구분: ["&amp;_xlfn.TEXTJOIN(", ",TRUE,IF(UPPER(TRIM($L2))="Y",CHAR(34)&amp;"아침"&amp;CHAR(34),""),IF(UPPER(TRIM($M2))="Y",CHAR(34)&amp;"점심"&amp;CHAR(34),""),IF(UPPER(TRIM($N2))="Y",CHAR(34)&amp;"저녁"&amp;CHAR(34),""))&amp;"], 영양분류: """&amp;$G2&amp;""", 주재료분류: """&amp;$H2&amp;""", 조리방식: """&amp;$I2&amp;""", 조리시간: """&amp;$J2&amp;""", 알레르기: """&amp;$K2&amp;""" },")</f>
        <v>{ 카테고리: "간단식", 음식: "오트밀 바나나볼", 음식구분: "간단식", 제철: "사계절", 재료: "오트밀, 우유, 바나나, 견과류", 식사구분: ["아침"], 영양분류: "탄수화물+식이섬유", 주재료분류: "곡류", 조리방식: "간단식", 조리시간: "10분", 알레르기: "우유, 견과류" },</v>
      </c>
    </row>
    <row r="3" spans="2:17">
      <c r="B3" t="s">
        <v>14</v>
      </c>
      <c r="C3" t="s">
        <v>23</v>
      </c>
      <c r="D3" t="s">
        <v>14</v>
      </c>
      <c r="E3" t="s">
        <v>16</v>
      </c>
      <c r="F3" t="s">
        <v>24</v>
      </c>
      <c r="G3" t="s">
        <v>25</v>
      </c>
      <c r="H3" t="s">
        <v>26</v>
      </c>
      <c r="I3" t="s">
        <v>14</v>
      </c>
      <c r="J3" t="s">
        <v>27</v>
      </c>
      <c r="K3" t="s">
        <v>28</v>
      </c>
      <c r="L3" t="s">
        <v>22</v>
      </c>
      <c r="P3" t="str">
        <f t="shared" ref="P3:P66" si="0">IF($C3="","",_xlfn.TEXTJOIN(", ",TRUE,IF(UPPER(TRIM($L3))="Y","아침",""),IF(UPPER(TRIM($M3))="Y","점심",""),IF(UPPER(TRIM($N3))="Y","저녁","")))</f>
        <v>아침</v>
      </c>
      <c r="Q3" t="str">
        <f t="shared" ref="Q3:Q66" si="1">IF($C3="","","{ 카테고리: """&amp;$B3&amp;""", 음식: """&amp;$C3&amp;""", 음식구분: """&amp;$D3&amp;""", 제철: """&amp;$E3&amp;""", 재료: """&amp;$F3&amp;""", 식사구분: ["&amp;_xlfn.TEXTJOIN(", ",TRUE,IF(UPPER(TRIM($L3))="Y",CHAR(34)&amp;"아침"&amp;CHAR(34),""),IF(UPPER(TRIM($M3))="Y",CHAR(34)&amp;"점심"&amp;CHAR(34),""),IF(UPPER(TRIM($N3))="Y",CHAR(34)&amp;"저녁"&amp;CHAR(34),""))&amp;"], 영양분류: """&amp;$G3&amp;""", 주재료분류: """&amp;$H3&amp;""", 조리방식: """&amp;$I3&amp;""", 조리시간: """&amp;$J3&amp;""", 알레르기: """&amp;$K3&amp;""" },")</f>
        <v>{ 카테고리: "간단식", 음식: "그릭요거트 과일볼", 음식구분: "간단식", 제철: "사계절", 재료: "그릭요거트, 딸기, 블루베리, 그래놀라", 식사구분: ["아침"], 영양분류: "단백질+비타민", 주재료분류: "유제품", 조리방식: "간단식", 조리시간: "5분", 알레르기: "우유" },</v>
      </c>
    </row>
    <row r="4" spans="2:17">
      <c r="B4" t="s">
        <v>14</v>
      </c>
      <c r="C4" t="s">
        <v>29</v>
      </c>
      <c r="D4" t="s">
        <v>14</v>
      </c>
      <c r="E4" t="s">
        <v>16</v>
      </c>
      <c r="F4" t="s">
        <v>30</v>
      </c>
      <c r="G4" t="s">
        <v>31</v>
      </c>
      <c r="H4" t="s">
        <v>32</v>
      </c>
      <c r="I4" t="s">
        <v>14</v>
      </c>
      <c r="J4" t="s">
        <v>33</v>
      </c>
      <c r="K4" t="s">
        <v>34</v>
      </c>
      <c r="L4" t="s">
        <v>22</v>
      </c>
      <c r="P4" t="str">
        <f t="shared" si="0"/>
        <v>아침</v>
      </c>
      <c r="Q4" t="str">
        <f t="shared" si="1"/>
        <v>{ 카테고리: "간단식", 음식: "삶은계란 토스트", 음식구분: "간단식", 제철: "사계절", 재료: "식빵, 계란, 양상추, 토마토", 식사구분: ["아침"], 영양분류: "단백질+탄수화물", 주재료분류: "계란", 조리방식: "간단식", 조리시간: "15분", 알레르기: "계란, 밀" },</v>
      </c>
    </row>
    <row r="5" spans="2:17">
      <c r="B5" t="s">
        <v>14</v>
      </c>
      <c r="C5" t="s">
        <v>35</v>
      </c>
      <c r="D5" t="s">
        <v>14</v>
      </c>
      <c r="E5" t="s">
        <v>16</v>
      </c>
      <c r="F5" t="s">
        <v>36</v>
      </c>
      <c r="G5" t="s">
        <v>37</v>
      </c>
      <c r="H5" t="s">
        <v>38</v>
      </c>
      <c r="I5" t="s">
        <v>14</v>
      </c>
      <c r="J5" t="s">
        <v>33</v>
      </c>
      <c r="K5" t="s">
        <v>39</v>
      </c>
      <c r="L5" t="s">
        <v>22</v>
      </c>
      <c r="M5" t="s">
        <v>22</v>
      </c>
      <c r="P5" t="str">
        <f t="shared" si="0"/>
        <v>아침, 점심</v>
      </c>
      <c r="Q5" t="str">
        <f t="shared" si="1"/>
        <v>{ 카테고리: "간단식", 음식: "닭가슴살 샌드위치", 음식구분: "간단식", 제철: "사계절", 재료: "식빵, 닭가슴살, 양상추, 토마토, 치즈", 식사구분: ["아침", "점심"], 영양분류: "고단백", 주재료분류: "육류", 조리방식: "간단식", 조리시간: "15분", 알레르기: "밀, 우유" },</v>
      </c>
    </row>
    <row r="6" spans="2:17">
      <c r="B6" t="s">
        <v>14</v>
      </c>
      <c r="C6" t="s">
        <v>40</v>
      </c>
      <c r="D6" t="s">
        <v>14</v>
      </c>
      <c r="E6" t="s">
        <v>16</v>
      </c>
      <c r="F6" t="s">
        <v>41</v>
      </c>
      <c r="G6" t="s">
        <v>42</v>
      </c>
      <c r="H6" t="s">
        <v>32</v>
      </c>
      <c r="I6" t="s">
        <v>43</v>
      </c>
      <c r="J6" t="s">
        <v>33</v>
      </c>
      <c r="K6" t="s">
        <v>32</v>
      </c>
      <c r="L6" t="s">
        <v>22</v>
      </c>
      <c r="N6" t="s">
        <v>22</v>
      </c>
      <c r="P6" t="str">
        <f t="shared" si="0"/>
        <v>아침, 저녁</v>
      </c>
      <c r="Q6" t="str">
        <f t="shared" si="1"/>
        <v>{ 카테고리: "간단식", 음식: "계란국과 밥", 음식구분: "간단식", 제철: "사계절", 재료: "계란, 대파, 밥, 육수", 식사구분: ["아침", "저녁"], 영양분류: "가벼운 한식", 주재료분류: "계란", 조리방식: "국물", 조리시간: "15분", 알레르기: "계란" },</v>
      </c>
    </row>
    <row r="7" spans="2:17">
      <c r="B7" t="s">
        <v>14</v>
      </c>
      <c r="C7" t="s">
        <v>44</v>
      </c>
      <c r="D7" t="s">
        <v>14</v>
      </c>
      <c r="E7" t="s">
        <v>16</v>
      </c>
      <c r="F7" t="s">
        <v>45</v>
      </c>
      <c r="G7" t="s">
        <v>46</v>
      </c>
      <c r="H7" t="s">
        <v>19</v>
      </c>
      <c r="I7" t="s">
        <v>43</v>
      </c>
      <c r="J7" t="s">
        <v>20</v>
      </c>
      <c r="K7" t="s">
        <v>47</v>
      </c>
      <c r="L7" t="s">
        <v>22</v>
      </c>
      <c r="P7" t="str">
        <f t="shared" si="0"/>
        <v>아침</v>
      </c>
      <c r="Q7" t="str">
        <f t="shared" si="1"/>
        <v>{ 카테고리: "간단식", 음식: "누룽지와 김", 음식구분: "간단식", 제철: "사계절", 재료: "누룽지, 김, 간장", 식사구분: ["아침"], 영양분류: "가벼운 탄수화물", 주재료분류: "곡류", 조리방식: "국물", 조리시간: "10분", 알레르기: "대두" },</v>
      </c>
    </row>
    <row r="8" spans="2:17">
      <c r="B8" t="s">
        <v>14</v>
      </c>
      <c r="C8" t="s">
        <v>48</v>
      </c>
      <c r="D8" t="s">
        <v>14</v>
      </c>
      <c r="E8" t="s">
        <v>16</v>
      </c>
      <c r="F8" t="s">
        <v>49</v>
      </c>
      <c r="G8" t="s">
        <v>50</v>
      </c>
      <c r="H8" t="s">
        <v>51</v>
      </c>
      <c r="I8" t="s">
        <v>52</v>
      </c>
      <c r="J8" t="s">
        <v>20</v>
      </c>
      <c r="K8" t="s">
        <v>47</v>
      </c>
      <c r="L8" t="s">
        <v>22</v>
      </c>
      <c r="M8" t="s">
        <v>22</v>
      </c>
      <c r="P8" t="str">
        <f t="shared" si="0"/>
        <v>아침, 점심</v>
      </c>
      <c r="Q8" t="str">
        <f t="shared" si="1"/>
        <v>{ 카테고리: "간단식", 음식: "두부 샐러드", 음식구분: "간단식", 제철: "사계절", 재료: "두부, 양상추, 토마토, 오리엔탈드레싱", 식사구분: ["아침", "점심"], 영양분류: "식물성 단백질", 주재료분류: "두부", 조리방식: "생식", 조리시간: "10분", 알레르기: "대두" },</v>
      </c>
    </row>
    <row r="9" spans="2:17">
      <c r="B9" t="s">
        <v>14</v>
      </c>
      <c r="C9" t="s">
        <v>53</v>
      </c>
      <c r="D9" t="s">
        <v>14</v>
      </c>
      <c r="E9" t="s">
        <v>16</v>
      </c>
      <c r="F9" t="s">
        <v>54</v>
      </c>
      <c r="G9" t="s">
        <v>31</v>
      </c>
      <c r="H9" t="s">
        <v>55</v>
      </c>
      <c r="I9" t="s">
        <v>14</v>
      </c>
      <c r="J9" t="s">
        <v>20</v>
      </c>
      <c r="K9" t="s">
        <v>56</v>
      </c>
      <c r="L9" t="s">
        <v>22</v>
      </c>
      <c r="M9" t="s">
        <v>22</v>
      </c>
      <c r="P9" t="str">
        <f t="shared" si="0"/>
        <v>아침, 점심</v>
      </c>
      <c r="Q9" t="str">
        <f t="shared" si="1"/>
        <v>{ 카테고리: "간단식", 음식: "참치마요 주먹밥", 음식구분: "간단식", 제철: "사계절", 재료: "밥, 참치, 김, 마요네즈", 식사구분: ["아침", "점심"], 영양분류: "단백질+탄수화물", 주재료분류: "생선", 조리방식: "간단식", 조리시간: "10분", 알레르기: "계란, 생선" },</v>
      </c>
    </row>
    <row r="10" spans="2:17">
      <c r="B10" t="s">
        <v>57</v>
      </c>
      <c r="C10" t="s">
        <v>58</v>
      </c>
      <c r="D10" t="s">
        <v>59</v>
      </c>
      <c r="E10" t="s">
        <v>16</v>
      </c>
      <c r="F10" t="s">
        <v>60</v>
      </c>
      <c r="G10" t="s">
        <v>61</v>
      </c>
      <c r="H10" t="s">
        <v>38</v>
      </c>
      <c r="I10" t="s">
        <v>59</v>
      </c>
      <c r="J10" t="s">
        <v>62</v>
      </c>
      <c r="K10" t="s">
        <v>47</v>
      </c>
      <c r="M10" t="s">
        <v>22</v>
      </c>
      <c r="N10" t="s">
        <v>22</v>
      </c>
      <c r="P10" t="str">
        <f t="shared" si="0"/>
        <v>점심, 저녁</v>
      </c>
      <c r="Q10" t="str">
        <f t="shared" si="1"/>
        <v>{ 카테고리: "한식", 음식: "김치찌개", 음식구분: "찌개", 제철: "사계절", 재료: "김치, 돼지고기, 두부", 식사구분: ["점심", "저녁"], 영양분류: "단백질+국물", 주재료분류: "육류", 조리방식: "찌개", 조리시간: "30분", 알레르기: "대두" },</v>
      </c>
    </row>
    <row r="11" spans="2:17">
      <c r="B11" t="s">
        <v>57</v>
      </c>
      <c r="C11" t="s">
        <v>63</v>
      </c>
      <c r="D11" t="s">
        <v>64</v>
      </c>
      <c r="E11" t="s">
        <v>16</v>
      </c>
      <c r="F11" t="s">
        <v>65</v>
      </c>
      <c r="G11" t="s">
        <v>66</v>
      </c>
      <c r="H11" t="s">
        <v>67</v>
      </c>
      <c r="I11" t="s">
        <v>68</v>
      </c>
      <c r="J11" t="s">
        <v>62</v>
      </c>
      <c r="K11" t="s">
        <v>32</v>
      </c>
      <c r="M11" t="s">
        <v>22</v>
      </c>
      <c r="N11" t="s">
        <v>22</v>
      </c>
      <c r="P11" t="str">
        <f t="shared" si="0"/>
        <v>점심, 저녁</v>
      </c>
      <c r="Q11" t="str">
        <f t="shared" si="1"/>
        <v>{ 카테고리: "한식", 음식: "비빔밥", 음식구분: "메인반찬", 제철: "사계절", 재료: "밥, 각종 나물, 계란, 다진 소고기", 식사구분: ["점심", "저녁"], 영양분류: "균형식", 주재료분류: "밥", 조리방식: "비빔", 조리시간: "30분", 알레르기: "계란" },</v>
      </c>
    </row>
    <row r="12" spans="2:17">
      <c r="B12" t="s">
        <v>57</v>
      </c>
      <c r="C12" t="s">
        <v>69</v>
      </c>
      <c r="D12" t="s">
        <v>59</v>
      </c>
      <c r="E12" t="s">
        <v>16</v>
      </c>
      <c r="F12" t="s">
        <v>70</v>
      </c>
      <c r="G12" t="s">
        <v>71</v>
      </c>
      <c r="H12" t="s">
        <v>51</v>
      </c>
      <c r="I12" t="s">
        <v>59</v>
      </c>
      <c r="J12" t="s">
        <v>72</v>
      </c>
      <c r="K12" t="s">
        <v>47</v>
      </c>
      <c r="L12" t="s">
        <v>22</v>
      </c>
      <c r="M12" t="s">
        <v>22</v>
      </c>
      <c r="N12" t="s">
        <v>22</v>
      </c>
      <c r="P12" t="str">
        <f t="shared" si="0"/>
        <v>아침, 점심, 저녁</v>
      </c>
      <c r="Q12" t="str">
        <f t="shared" si="1"/>
        <v>{ 카테고리: "한식", 음식: "된장찌개", 음식구분: "찌개", 제철: "사계절", 재료: "두부, 애호박, 양파, 팽이버섯", 식사구분: ["아침", "점심", "저녁"], 영양분류: "식물성 단백질+국물", 주재료분류: "두부", 조리방식: "찌개", 조리시간: "25분", 알레르기: "대두" },</v>
      </c>
    </row>
    <row r="13" spans="2:17">
      <c r="B13" t="s">
        <v>57</v>
      </c>
      <c r="C13" t="s">
        <v>73</v>
      </c>
      <c r="D13" t="s">
        <v>64</v>
      </c>
      <c r="E13" t="s">
        <v>16</v>
      </c>
      <c r="F13" t="s">
        <v>74</v>
      </c>
      <c r="G13" t="s">
        <v>37</v>
      </c>
      <c r="H13" t="s">
        <v>38</v>
      </c>
      <c r="I13" t="s">
        <v>75</v>
      </c>
      <c r="J13" t="s">
        <v>72</v>
      </c>
      <c r="K13" t="s">
        <v>76</v>
      </c>
      <c r="M13" t="s">
        <v>22</v>
      </c>
      <c r="N13" t="s">
        <v>22</v>
      </c>
      <c r="P13" t="str">
        <f t="shared" si="0"/>
        <v>점심, 저녁</v>
      </c>
      <c r="Q13" t="str">
        <f t="shared" si="1"/>
        <v>{ 카테고리: "한식", 음식: "제육볶음", 음식구분: "메인반찬", 제철: "사계절", 재료: "돼지고기, 양파, 대파, 양배추", 식사구분: ["점심", "저녁"], 영양분류: "고단백", 주재료분류: "육류", 조리방식: "볶음", 조리시간: "25분", 알레르기: "없음" },</v>
      </c>
    </row>
    <row r="14" spans="2:17">
      <c r="B14" t="s">
        <v>57</v>
      </c>
      <c r="C14" t="s">
        <v>77</v>
      </c>
      <c r="D14" t="s">
        <v>64</v>
      </c>
      <c r="E14" t="s">
        <v>16</v>
      </c>
      <c r="F14" t="s">
        <v>78</v>
      </c>
      <c r="G14" t="s">
        <v>79</v>
      </c>
      <c r="H14" t="s">
        <v>38</v>
      </c>
      <c r="I14" t="s">
        <v>80</v>
      </c>
      <c r="J14" t="s">
        <v>62</v>
      </c>
      <c r="K14" t="s">
        <v>76</v>
      </c>
      <c r="N14" t="s">
        <v>22</v>
      </c>
      <c r="P14" t="str">
        <f t="shared" si="0"/>
        <v>저녁</v>
      </c>
      <c r="Q14" t="str">
        <f t="shared" si="1"/>
        <v>{ 카테고리: "한식", 음식: "삼겹살", 음식구분: "메인반찬", 제철: "사계절", 재료: "돼지고기 삼겹살, 마늘, 상추, 깻잎", 식사구분: ["저녁"], 영양분류: "고단백+고지방", 주재료분류: "육류", 조리방식: "구이", 조리시간: "30분", 알레르기: "없음" },</v>
      </c>
    </row>
    <row r="15" spans="2:17">
      <c r="B15" t="s">
        <v>57</v>
      </c>
      <c r="C15" t="s">
        <v>81</v>
      </c>
      <c r="D15" t="s">
        <v>64</v>
      </c>
      <c r="E15" t="s">
        <v>16</v>
      </c>
      <c r="F15" t="s">
        <v>82</v>
      </c>
      <c r="G15" t="s">
        <v>37</v>
      </c>
      <c r="H15" t="s">
        <v>38</v>
      </c>
      <c r="I15" t="s">
        <v>83</v>
      </c>
      <c r="J15" t="s">
        <v>84</v>
      </c>
      <c r="K15" t="s">
        <v>76</v>
      </c>
      <c r="N15" t="s">
        <v>22</v>
      </c>
      <c r="P15" t="str">
        <f t="shared" si="0"/>
        <v>저녁</v>
      </c>
      <c r="Q15" t="str">
        <f t="shared" si="1"/>
        <v>{ 카테고리: "한식", 음식: "보쌈", 음식구분: "메인반찬", 제철: "사계절", 재료: "돼지고기 수육, 배추, 무", 식사구분: ["저녁"], 영양분류: "고단백", 주재료분류: "육류", 조리방식: "찜", 조리시간: "1시간", 알레르기: "없음" },</v>
      </c>
    </row>
    <row r="16" spans="2:17">
      <c r="B16" t="s">
        <v>57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 t="s">
        <v>38</v>
      </c>
      <c r="I16" t="s">
        <v>90</v>
      </c>
      <c r="J16" t="s">
        <v>84</v>
      </c>
      <c r="K16" t="s">
        <v>76</v>
      </c>
      <c r="M16" t="s">
        <v>22</v>
      </c>
      <c r="N16" t="s">
        <v>22</v>
      </c>
      <c r="P16" t="str">
        <f t="shared" si="0"/>
        <v>점심, 저녁</v>
      </c>
      <c r="Q16" t="str">
        <f t="shared" si="1"/>
        <v>{ 카테고리: "한식", 음식: "감자탕", 음식구분: "국/탕", 제철: "겨울", 재료: "돼지등뼈, 감자, 우거지, 깻잎", 식사구분: ["점심", "저녁"], 영양분류: "고단백+국물", 주재료분류: "육류", 조리방식: "탕", 조리시간: "1시간", 알레르기: "없음" },</v>
      </c>
    </row>
    <row r="17" spans="2:17">
      <c r="B17" t="s">
        <v>57</v>
      </c>
      <c r="C17" t="s">
        <v>91</v>
      </c>
      <c r="D17" t="s">
        <v>59</v>
      </c>
      <c r="E17" t="s">
        <v>16</v>
      </c>
      <c r="F17" t="s">
        <v>92</v>
      </c>
      <c r="G17" t="s">
        <v>93</v>
      </c>
      <c r="H17" t="s">
        <v>94</v>
      </c>
      <c r="I17" t="s">
        <v>59</v>
      </c>
      <c r="J17" t="s">
        <v>72</v>
      </c>
      <c r="K17" t="s">
        <v>95</v>
      </c>
      <c r="M17" t="s">
        <v>22</v>
      </c>
      <c r="N17" t="s">
        <v>22</v>
      </c>
      <c r="P17" t="str">
        <f t="shared" si="0"/>
        <v>점심, 저녁</v>
      </c>
      <c r="Q17" t="str">
        <f t="shared" si="1"/>
        <v>{ 카테고리: "한식", 음식: "부대찌개", 음식구분: "찌개", 제철: "사계절", 재료: "햄, 소시지, 김치, 라면사리, 대파", 식사구분: ["점심", "저녁"], 영양분류: "고열량", 주재료분류: "가공육", 조리방식: "찌개", 조리시간: "25분", 알레르기: "밀" },</v>
      </c>
    </row>
    <row r="18" spans="2:17">
      <c r="B18" t="s">
        <v>57</v>
      </c>
      <c r="C18" t="s">
        <v>96</v>
      </c>
      <c r="D18" t="s">
        <v>86</v>
      </c>
      <c r="E18" t="s">
        <v>97</v>
      </c>
      <c r="F18" t="s">
        <v>98</v>
      </c>
      <c r="G18" t="s">
        <v>99</v>
      </c>
      <c r="H18" t="s">
        <v>38</v>
      </c>
      <c r="I18" t="s">
        <v>90</v>
      </c>
      <c r="J18" t="s">
        <v>84</v>
      </c>
      <c r="K18" t="s">
        <v>76</v>
      </c>
      <c r="M18" t="s">
        <v>22</v>
      </c>
      <c r="N18" t="s">
        <v>22</v>
      </c>
      <c r="P18" t="str">
        <f t="shared" si="0"/>
        <v>점심, 저녁</v>
      </c>
      <c r="Q18" t="str">
        <f t="shared" si="1"/>
        <v>{ 카테고리: "한식", 음식: "삼계탕", 음식구분: "국/탕", 제철: "여름", 재료: "닭고기, 인삼, 찹쌀, 대추, 마늘", 식사구분: ["점심", "저녁"], 영양분류: "고단백+보양식", 주재료분류: "육류", 조리방식: "탕", 조리시간: "1시간", 알레르기: "없음" },</v>
      </c>
    </row>
    <row r="19" spans="2:17">
      <c r="B19" t="s">
        <v>57</v>
      </c>
      <c r="C19" t="s">
        <v>100</v>
      </c>
      <c r="D19" t="s">
        <v>86</v>
      </c>
      <c r="E19" t="s">
        <v>16</v>
      </c>
      <c r="F19" t="s">
        <v>101</v>
      </c>
      <c r="G19" t="s">
        <v>89</v>
      </c>
      <c r="H19" t="s">
        <v>38</v>
      </c>
      <c r="I19" t="s">
        <v>90</v>
      </c>
      <c r="J19" t="s">
        <v>84</v>
      </c>
      <c r="K19" t="s">
        <v>76</v>
      </c>
      <c r="M19" t="s">
        <v>22</v>
      </c>
      <c r="N19" t="s">
        <v>22</v>
      </c>
      <c r="P19" t="str">
        <f t="shared" si="0"/>
        <v>점심, 저녁</v>
      </c>
      <c r="Q19" t="str">
        <f t="shared" si="1"/>
        <v>{ 카테고리: "한식", 음식: "갈비탕", 음식구분: "국/탕", 제철: "사계절", 재료: "소갈비, 당면, 대파, 무", 식사구분: ["점심", "저녁"], 영양분류: "고단백+국물", 주재료분류: "육류", 조리방식: "탕", 조리시간: "1시간", 알레르기: "없음" },</v>
      </c>
    </row>
    <row r="20" spans="2:17">
      <c r="B20" t="s">
        <v>57</v>
      </c>
      <c r="C20" t="s">
        <v>102</v>
      </c>
      <c r="D20" t="s">
        <v>86</v>
      </c>
      <c r="E20" t="s">
        <v>16</v>
      </c>
      <c r="F20" t="s">
        <v>103</v>
      </c>
      <c r="G20" t="s">
        <v>31</v>
      </c>
      <c r="H20" t="s">
        <v>38</v>
      </c>
      <c r="I20" t="s">
        <v>43</v>
      </c>
      <c r="J20" t="s">
        <v>62</v>
      </c>
      <c r="K20" t="s">
        <v>76</v>
      </c>
      <c r="L20" t="s">
        <v>22</v>
      </c>
      <c r="M20" t="s">
        <v>22</v>
      </c>
      <c r="N20" t="s">
        <v>22</v>
      </c>
      <c r="P20" t="str">
        <f t="shared" si="0"/>
        <v>아침, 점심, 저녁</v>
      </c>
      <c r="Q20" t="str">
        <f t="shared" si="1"/>
        <v>{ 카테고리: "한식", 음식: "국밥", 음식구분: "국/탕", 제철: "사계절", 재료: "돼지고기, 부추, 밥, 파", 식사구분: ["아침", "점심", "저녁"], 영양분류: "단백질+탄수화물", 주재료분류: "육류", 조리방식: "국물", 조리시간: "30분", 알레르기: "없음" },</v>
      </c>
    </row>
    <row r="21" spans="2:17">
      <c r="B21" t="s">
        <v>57</v>
      </c>
      <c r="C21" t="s">
        <v>104</v>
      </c>
      <c r="D21" t="s">
        <v>64</v>
      </c>
      <c r="E21" t="s">
        <v>105</v>
      </c>
      <c r="F21" t="s">
        <v>106</v>
      </c>
      <c r="G21" t="s">
        <v>107</v>
      </c>
      <c r="H21" t="s">
        <v>55</v>
      </c>
      <c r="I21" t="s">
        <v>80</v>
      </c>
      <c r="J21" t="s">
        <v>108</v>
      </c>
      <c r="K21" t="s">
        <v>55</v>
      </c>
      <c r="M21" t="s">
        <v>22</v>
      </c>
      <c r="N21" t="s">
        <v>22</v>
      </c>
      <c r="P21" t="str">
        <f t="shared" si="0"/>
        <v>점심, 저녁</v>
      </c>
      <c r="Q21" t="str">
        <f t="shared" si="1"/>
        <v>{ 카테고리: "한식", 음식: "고등어구이", 음식구분: "메인반찬", 제철: "9월~11월", 재료: "고등어, 레몬", 식사구분: ["점심", "저녁"], 영양분류: "고단백+오메가3", 주재료분류: "생선", 조리방식: "구이", 조리시간: "20분", 알레르기: "생선" },</v>
      </c>
    </row>
    <row r="22" spans="2:17">
      <c r="B22" t="s">
        <v>57</v>
      </c>
      <c r="C22" t="s">
        <v>109</v>
      </c>
      <c r="D22" t="s">
        <v>64</v>
      </c>
      <c r="E22" t="s">
        <v>110</v>
      </c>
      <c r="F22" t="s">
        <v>111</v>
      </c>
      <c r="G22" t="s">
        <v>37</v>
      </c>
      <c r="H22" t="s">
        <v>55</v>
      </c>
      <c r="I22" t="s">
        <v>80</v>
      </c>
      <c r="J22" t="s">
        <v>108</v>
      </c>
      <c r="K22" t="s">
        <v>55</v>
      </c>
      <c r="M22" t="s">
        <v>22</v>
      </c>
      <c r="N22" t="s">
        <v>22</v>
      </c>
      <c r="P22" t="str">
        <f t="shared" si="0"/>
        <v>점심, 저녁</v>
      </c>
      <c r="Q22" t="str">
        <f t="shared" si="1"/>
        <v>{ 카테고리: "한식", 음식: "갈치구이", 음식구분: "메인반찬", 제철: "7월~10월", 재료: "갈치", 식사구분: ["점심", "저녁"], 영양분류: "고단백", 주재료분류: "생선", 조리방식: "구이", 조리시간: "20분", 알레르기: "생선" },</v>
      </c>
    </row>
    <row r="23" spans="2:17">
      <c r="B23" t="s">
        <v>57</v>
      </c>
      <c r="C23" t="s">
        <v>112</v>
      </c>
      <c r="D23" t="s">
        <v>64</v>
      </c>
      <c r="E23" t="s">
        <v>113</v>
      </c>
      <c r="F23" t="s">
        <v>114</v>
      </c>
      <c r="G23" t="s">
        <v>107</v>
      </c>
      <c r="H23" t="s">
        <v>55</v>
      </c>
      <c r="I23" t="s">
        <v>80</v>
      </c>
      <c r="J23" t="s">
        <v>108</v>
      </c>
      <c r="K23" t="s">
        <v>55</v>
      </c>
      <c r="M23" t="s">
        <v>22</v>
      </c>
      <c r="N23" t="s">
        <v>22</v>
      </c>
      <c r="P23" t="str">
        <f t="shared" si="0"/>
        <v>점심, 저녁</v>
      </c>
      <c r="Q23" t="str">
        <f t="shared" si="1"/>
        <v>{ 카테고리: "한식", 음식: "삼치구이", 음식구분: "메인반찬", 제철: "10월~2월", 재료: "삼치, 레몬", 식사구분: ["점심", "저녁"], 영양분류: "고단백+오메가3", 주재료분류: "생선", 조리방식: "구이", 조리시간: "20분", 알레르기: "생선" },</v>
      </c>
    </row>
    <row r="24" spans="2:17">
      <c r="B24" t="s">
        <v>57</v>
      </c>
      <c r="C24" t="s">
        <v>115</v>
      </c>
      <c r="D24" t="s">
        <v>64</v>
      </c>
      <c r="E24" t="s">
        <v>116</v>
      </c>
      <c r="F24" t="s">
        <v>117</v>
      </c>
      <c r="G24" t="s">
        <v>37</v>
      </c>
      <c r="H24" t="s">
        <v>55</v>
      </c>
      <c r="I24" t="s">
        <v>80</v>
      </c>
      <c r="J24" t="s">
        <v>108</v>
      </c>
      <c r="K24" t="s">
        <v>55</v>
      </c>
      <c r="M24" t="s">
        <v>22</v>
      </c>
      <c r="N24" t="s">
        <v>22</v>
      </c>
      <c r="P24" t="str">
        <f t="shared" si="0"/>
        <v>점심, 저녁</v>
      </c>
      <c r="Q24" t="str">
        <f t="shared" si="1"/>
        <v>{ 카테고리: "한식", 음식: "임연수구이", 음식구분: "메인반찬", 제철: "11월~3월", 재료: "임연수", 식사구분: ["점심", "저녁"], 영양분류: "고단백", 주재료분류: "생선", 조리방식: "구이", 조리시간: "20분", 알레르기: "생선" },</v>
      </c>
    </row>
    <row r="25" spans="2:17">
      <c r="B25" t="s">
        <v>57</v>
      </c>
      <c r="C25" t="s">
        <v>118</v>
      </c>
      <c r="D25" t="s">
        <v>64</v>
      </c>
      <c r="E25" t="s">
        <v>119</v>
      </c>
      <c r="F25" t="s">
        <v>120</v>
      </c>
      <c r="G25" t="s">
        <v>107</v>
      </c>
      <c r="H25" t="s">
        <v>55</v>
      </c>
      <c r="I25" t="s">
        <v>80</v>
      </c>
      <c r="J25" t="s">
        <v>108</v>
      </c>
      <c r="K25" t="s">
        <v>55</v>
      </c>
      <c r="M25" t="s">
        <v>22</v>
      </c>
      <c r="N25" t="s">
        <v>22</v>
      </c>
      <c r="P25" t="str">
        <f t="shared" si="0"/>
        <v>점심, 저녁</v>
      </c>
      <c r="Q25" t="str">
        <f t="shared" si="1"/>
        <v>{ 카테고리: "한식", 음식: "꽁치구이", 음식구분: "메인반찬", 제철: "10월~11월", 재료: "꽁치", 식사구분: ["점심", "저녁"], 영양분류: "고단백+오메가3", 주재료분류: "생선", 조리방식: "구이", 조리시간: "20분", 알레르기: "생선" },</v>
      </c>
    </row>
    <row r="26" spans="2:17">
      <c r="B26" t="s">
        <v>121</v>
      </c>
      <c r="C26" t="s">
        <v>122</v>
      </c>
      <c r="D26" t="s">
        <v>125</v>
      </c>
      <c r="E26" t="s">
        <v>16</v>
      </c>
      <c r="F26" t="s">
        <v>123</v>
      </c>
      <c r="G26" t="s">
        <v>124</v>
      </c>
      <c r="H26" t="s">
        <v>125</v>
      </c>
      <c r="I26" t="s">
        <v>75</v>
      </c>
      <c r="J26" t="s">
        <v>62</v>
      </c>
      <c r="K26" t="s">
        <v>95</v>
      </c>
      <c r="M26" t="s">
        <v>22</v>
      </c>
      <c r="N26" t="s">
        <v>22</v>
      </c>
      <c r="P26" t="str">
        <f t="shared" si="0"/>
        <v>점심, 저녁</v>
      </c>
      <c r="Q26" t="str">
        <f t="shared" si="1"/>
        <v>{ 카테고리: "중식", 음식: "짜장면", 음식구분: "면", 제철: "사계절", 재료: "돼지고기, 양파, 양배추, 면", 식사구분: ["점심", "저녁"], 영양분류: "탄수화물", 주재료분류: "면", 조리방식: "볶음", 조리시간: "30분", 알레르기: "밀" },</v>
      </c>
    </row>
    <row r="27" spans="2:17">
      <c r="B27" t="s">
        <v>121</v>
      </c>
      <c r="C27" t="s">
        <v>126</v>
      </c>
      <c r="D27" t="s">
        <v>64</v>
      </c>
      <c r="E27" t="s">
        <v>16</v>
      </c>
      <c r="F27" t="s">
        <v>127</v>
      </c>
      <c r="G27" t="s">
        <v>128</v>
      </c>
      <c r="H27" t="s">
        <v>129</v>
      </c>
      <c r="I27" t="s">
        <v>43</v>
      </c>
      <c r="J27" t="s">
        <v>62</v>
      </c>
      <c r="K27" t="s">
        <v>130</v>
      </c>
      <c r="M27" t="s">
        <v>22</v>
      </c>
      <c r="N27" t="s">
        <v>22</v>
      </c>
      <c r="P27" t="str">
        <f t="shared" si="0"/>
        <v>점심, 저녁</v>
      </c>
      <c r="Q27" t="str">
        <f t="shared" si="1"/>
        <v>{ 카테고리: "중식", 음식: "짬뽕", 음식구분: "메인반찬", 제철: "사계절", 재료: "오징어, 홍합, 새우, 양파, 면", 식사구분: ["점심", "저녁"], 영양분류: "해산물+국물", 주재료분류: "해산물", 조리방식: "국물", 조리시간: "30분", 알레르기: "새우, 조개류, 밀" },</v>
      </c>
    </row>
    <row r="28" spans="2:17">
      <c r="B28" t="s">
        <v>121</v>
      </c>
      <c r="C28" t="s">
        <v>131</v>
      </c>
      <c r="D28" t="s">
        <v>64</v>
      </c>
      <c r="E28" t="s">
        <v>16</v>
      </c>
      <c r="F28" t="s">
        <v>132</v>
      </c>
      <c r="G28" t="s">
        <v>133</v>
      </c>
      <c r="H28" t="s">
        <v>38</v>
      </c>
      <c r="I28" t="s">
        <v>134</v>
      </c>
      <c r="J28" t="s">
        <v>135</v>
      </c>
      <c r="K28" t="s">
        <v>95</v>
      </c>
      <c r="M28" t="s">
        <v>22</v>
      </c>
      <c r="N28" t="s">
        <v>22</v>
      </c>
      <c r="P28" t="str">
        <f t="shared" si="0"/>
        <v>점심, 저녁</v>
      </c>
      <c r="Q28" t="str">
        <f t="shared" si="1"/>
        <v>{ 카테고리: "중식", 음식: "탕수육", 음식구분: "메인반찬", 제철: "사계절", 재료: "돼지고기, 양파, 목이버섯, 당근", 식사구분: ["점심", "저녁"], 영양분류: "고단백+튀김", 주재료분류: "육류", 조리방식: "튀김", 조리시간: "40분", 알레르기: "밀" },</v>
      </c>
    </row>
    <row r="29" spans="2:17">
      <c r="B29" t="s">
        <v>121</v>
      </c>
      <c r="C29" t="s">
        <v>136</v>
      </c>
      <c r="D29" t="s">
        <v>64</v>
      </c>
      <c r="E29" t="s">
        <v>16</v>
      </c>
      <c r="F29" t="s">
        <v>137</v>
      </c>
      <c r="G29" t="s">
        <v>138</v>
      </c>
      <c r="H29" t="s">
        <v>51</v>
      </c>
      <c r="I29" t="s">
        <v>75</v>
      </c>
      <c r="J29" t="s">
        <v>72</v>
      </c>
      <c r="K29" t="s">
        <v>47</v>
      </c>
      <c r="M29" t="s">
        <v>22</v>
      </c>
      <c r="N29" t="s">
        <v>22</v>
      </c>
      <c r="P29" t="str">
        <f t="shared" si="0"/>
        <v>점심, 저녁</v>
      </c>
      <c r="Q29" t="str">
        <f t="shared" si="1"/>
        <v>{ 카테고리: "중식", 음식: "마파두부", 음식구분: "메인반찬", 제철: "사계절", 재료: "두부, 돼지고기 다짐육, 파", 식사구분: ["점심", "저녁"], 영양분류: "단백질", 주재료분류: "두부", 조리방식: "볶음", 조리시간: "25분", 알레르기: "대두" },</v>
      </c>
    </row>
    <row r="30" spans="2:17">
      <c r="B30" t="s">
        <v>121</v>
      </c>
      <c r="C30" t="s">
        <v>139</v>
      </c>
      <c r="D30" t="s">
        <v>64</v>
      </c>
      <c r="E30" t="s">
        <v>16</v>
      </c>
      <c r="F30" t="s">
        <v>140</v>
      </c>
      <c r="G30" t="s">
        <v>133</v>
      </c>
      <c r="H30" t="s">
        <v>38</v>
      </c>
      <c r="I30" t="s">
        <v>134</v>
      </c>
      <c r="J30" t="s">
        <v>135</v>
      </c>
      <c r="K30" t="s">
        <v>95</v>
      </c>
      <c r="M30" t="s">
        <v>22</v>
      </c>
      <c r="N30" t="s">
        <v>22</v>
      </c>
      <c r="P30" t="str">
        <f t="shared" si="0"/>
        <v>점심, 저녁</v>
      </c>
      <c r="Q30" t="str">
        <f t="shared" si="1"/>
        <v>{ 카테고리: "중식", 음식: "깐풍기", 음식구분: "메인반찬", 제철: "사계절", 재료: "닭고기, 양상추, 피망", 식사구분: ["점심", "저녁"], 영양분류: "고단백+튀김", 주재료분류: "육류", 조리방식: "튀김", 조리시간: "40분", 알레르기: "밀" },</v>
      </c>
    </row>
    <row r="31" spans="2:17">
      <c r="B31" t="s">
        <v>121</v>
      </c>
      <c r="C31" t="s">
        <v>141</v>
      </c>
      <c r="D31" t="s">
        <v>64</v>
      </c>
      <c r="E31" t="s">
        <v>16</v>
      </c>
      <c r="F31" t="s">
        <v>142</v>
      </c>
      <c r="G31" t="s">
        <v>143</v>
      </c>
      <c r="H31" t="s">
        <v>67</v>
      </c>
      <c r="I31" t="s">
        <v>75</v>
      </c>
      <c r="J31" t="s">
        <v>108</v>
      </c>
      <c r="K31" t="s">
        <v>144</v>
      </c>
      <c r="L31" t="s">
        <v>22</v>
      </c>
      <c r="M31" t="s">
        <v>22</v>
      </c>
      <c r="N31" t="s">
        <v>22</v>
      </c>
      <c r="P31" t="str">
        <f t="shared" si="0"/>
        <v>아침, 점심, 저녁</v>
      </c>
      <c r="Q31" t="str">
        <f t="shared" si="1"/>
        <v>{ 카테고리: "중식", 음식: "볶음밥", 음식구분: "메인반찬", 제철: "사계절", 재료: "밥, 계란, 파, 새우", 식사구분: ["아침", "점심", "저녁"], 영양분류: "탄수화물+단백질", 주재료분류: "밥", 조리방식: "볶음", 조리시간: "20분", 알레르기: "계란, 새우" },</v>
      </c>
    </row>
    <row r="32" spans="2:17">
      <c r="B32" t="s">
        <v>145</v>
      </c>
      <c r="C32" t="s">
        <v>146</v>
      </c>
      <c r="D32" t="s">
        <v>64</v>
      </c>
      <c r="E32" t="s">
        <v>16</v>
      </c>
      <c r="F32" t="s">
        <v>147</v>
      </c>
      <c r="G32" t="s">
        <v>37</v>
      </c>
      <c r="H32" t="s">
        <v>55</v>
      </c>
      <c r="I32" t="s">
        <v>52</v>
      </c>
      <c r="J32" t="s">
        <v>62</v>
      </c>
      <c r="K32" t="s">
        <v>55</v>
      </c>
      <c r="M32" t="s">
        <v>22</v>
      </c>
      <c r="N32" t="s">
        <v>22</v>
      </c>
      <c r="P32" t="str">
        <f t="shared" si="0"/>
        <v>점심, 저녁</v>
      </c>
      <c r="Q32" t="str">
        <f t="shared" si="1"/>
        <v>{ 카테고리: "일식", 음식: "초밥", 음식구분: "메인반찬", 제철: "사계절", 재료: "생선, 밥", 식사구분: ["점심", "저녁"], 영양분류: "고단백", 주재료분류: "생선", 조리방식: "생식", 조리시간: "30분", 알레르기: "생선" },</v>
      </c>
    </row>
    <row r="33" spans="2:17">
      <c r="B33" t="s">
        <v>145</v>
      </c>
      <c r="C33" t="s">
        <v>148</v>
      </c>
      <c r="D33" t="s">
        <v>64</v>
      </c>
      <c r="E33" t="s">
        <v>16</v>
      </c>
      <c r="F33" t="s">
        <v>149</v>
      </c>
      <c r="G33" t="s">
        <v>133</v>
      </c>
      <c r="H33" t="s">
        <v>38</v>
      </c>
      <c r="I33" t="s">
        <v>134</v>
      </c>
      <c r="J33" t="s">
        <v>150</v>
      </c>
      <c r="K33" t="s">
        <v>151</v>
      </c>
      <c r="M33" t="s">
        <v>22</v>
      </c>
      <c r="N33" t="s">
        <v>22</v>
      </c>
      <c r="P33" t="str">
        <f t="shared" si="0"/>
        <v>점심, 저녁</v>
      </c>
      <c r="Q33" t="str">
        <f t="shared" si="1"/>
        <v>{ 카테고리: "일식", 음식: "돈카츠", 음식구분: "메인반찬", 제철: "사계절", 재료: "돼지고기 등심, 양배추", 식사구분: ["점심", "저녁"], 영양분류: "고단백+튀김", 주재료분류: "육류", 조리방식: "튀김", 조리시간: "35분", 알레르기: "밀, 계란" },</v>
      </c>
    </row>
    <row r="34" spans="2:17">
      <c r="B34" t="s">
        <v>145</v>
      </c>
      <c r="C34" t="s">
        <v>152</v>
      </c>
      <c r="D34" t="s">
        <v>125</v>
      </c>
      <c r="E34" t="s">
        <v>16</v>
      </c>
      <c r="F34" t="s">
        <v>153</v>
      </c>
      <c r="G34" t="s">
        <v>154</v>
      </c>
      <c r="H34" t="s">
        <v>125</v>
      </c>
      <c r="I34" t="s">
        <v>43</v>
      </c>
      <c r="J34" t="s">
        <v>62</v>
      </c>
      <c r="K34" t="s">
        <v>151</v>
      </c>
      <c r="M34" t="s">
        <v>22</v>
      </c>
      <c r="N34" t="s">
        <v>22</v>
      </c>
      <c r="P34" t="str">
        <f t="shared" si="0"/>
        <v>점심, 저녁</v>
      </c>
      <c r="Q34" t="str">
        <f t="shared" si="1"/>
        <v>{ 카테고리: "일식", 음식: "라멘", 음식구분: "면", 제철: "사계절", 재료: "라멘 면, 돼지고기 챠슈, 숙주, 반숙란", 식사구분: ["점심", "저녁"], 영양분류: "탄수화물+국물", 주재료분류: "면", 조리방식: "국물", 조리시간: "30분", 알레르기: "밀, 계란" },</v>
      </c>
    </row>
    <row r="35" spans="2:17">
      <c r="B35" t="s">
        <v>145</v>
      </c>
      <c r="C35" t="s">
        <v>155</v>
      </c>
      <c r="D35" t="s">
        <v>125</v>
      </c>
      <c r="E35" t="s">
        <v>87</v>
      </c>
      <c r="F35" t="s">
        <v>156</v>
      </c>
      <c r="G35" t="s">
        <v>157</v>
      </c>
      <c r="H35" t="s">
        <v>125</v>
      </c>
      <c r="I35" t="s">
        <v>43</v>
      </c>
      <c r="J35" t="s">
        <v>108</v>
      </c>
      <c r="K35" t="s">
        <v>158</v>
      </c>
      <c r="L35" t="s">
        <v>22</v>
      </c>
      <c r="M35" t="s">
        <v>22</v>
      </c>
      <c r="N35" t="s">
        <v>22</v>
      </c>
      <c r="P35" t="str">
        <f t="shared" si="0"/>
        <v>아침, 점심, 저녁</v>
      </c>
      <c r="Q35" t="str">
        <f t="shared" si="1"/>
        <v>{ 카테고리: "일식", 음식: "우동", 음식구분: "면", 제철: "겨울", 재료: "우동 면, 어묵, 대파, 쑥갓", 식사구분: ["아침", "점심", "저녁"], 영양분류: "가벼운 국물", 주재료분류: "면", 조리방식: "국물", 조리시간: "20분", 알레르기: "밀, 생선" },</v>
      </c>
    </row>
    <row r="36" spans="2:17">
      <c r="B36" t="s">
        <v>145</v>
      </c>
      <c r="C36" t="s">
        <v>159</v>
      </c>
      <c r="D36" t="s">
        <v>64</v>
      </c>
      <c r="E36" t="s">
        <v>16</v>
      </c>
      <c r="F36" t="s">
        <v>160</v>
      </c>
      <c r="G36" t="s">
        <v>107</v>
      </c>
      <c r="H36" t="s">
        <v>55</v>
      </c>
      <c r="I36" t="s">
        <v>161</v>
      </c>
      <c r="J36" t="s">
        <v>108</v>
      </c>
      <c r="K36" t="s">
        <v>55</v>
      </c>
      <c r="M36" t="s">
        <v>22</v>
      </c>
      <c r="N36" t="s">
        <v>22</v>
      </c>
      <c r="P36" t="str">
        <f t="shared" si="0"/>
        <v>점심, 저녁</v>
      </c>
      <c r="Q36" t="str">
        <f t="shared" si="1"/>
        <v>{ 카테고리: "일식", 음식: "사케동 (연어덮밥)", 음식구분: "메인반찬", 제철: "사계절", 재료: "연어, 밥, 양파", 식사구분: ["점심", "저녁"], 영양분류: "고단백+오메가3", 주재료분류: "생선", 조리방식: "덮밥", 조리시간: "20분", 알레르기: "생선" },</v>
      </c>
    </row>
    <row r="37" spans="2:17">
      <c r="B37" t="s">
        <v>145</v>
      </c>
      <c r="C37" t="s">
        <v>162</v>
      </c>
      <c r="D37" t="s">
        <v>64</v>
      </c>
      <c r="E37" t="s">
        <v>16</v>
      </c>
      <c r="F37" t="s">
        <v>163</v>
      </c>
      <c r="G37" t="s">
        <v>164</v>
      </c>
      <c r="H37" t="s">
        <v>129</v>
      </c>
      <c r="I37" t="s">
        <v>134</v>
      </c>
      <c r="J37" t="s">
        <v>150</v>
      </c>
      <c r="K37" t="s">
        <v>165</v>
      </c>
      <c r="M37" t="s">
        <v>22</v>
      </c>
      <c r="N37" t="s">
        <v>22</v>
      </c>
      <c r="P37" t="str">
        <f t="shared" si="0"/>
        <v>점심, 저녁</v>
      </c>
      <c r="Q37" t="str">
        <f t="shared" si="1"/>
        <v>{ 카테고리: "일식", 음식: "텐동 (튀김덮밥)", 음식구분: "메인반찬", 제철: "사계절", 재료: "새우, 단호박, 가지, 밥", 식사구분: ["점심", "저녁"], 영양분류: "탄수화물+튀김", 주재료분류: "해산물", 조리방식: "튀김", 조리시간: "35분", 알레르기: "새우, 밀" },</v>
      </c>
    </row>
    <row r="38" spans="2:17">
      <c r="B38" t="s">
        <v>166</v>
      </c>
      <c r="C38" t="s">
        <v>167</v>
      </c>
      <c r="D38" t="s">
        <v>64</v>
      </c>
      <c r="E38" t="s">
        <v>16</v>
      </c>
      <c r="F38" t="s">
        <v>168</v>
      </c>
      <c r="G38" t="s">
        <v>124</v>
      </c>
      <c r="H38" t="s">
        <v>125</v>
      </c>
      <c r="I38" t="s">
        <v>75</v>
      </c>
      <c r="J38" t="s">
        <v>72</v>
      </c>
      <c r="K38" t="s">
        <v>95</v>
      </c>
      <c r="M38" t="s">
        <v>22</v>
      </c>
      <c r="N38" t="s">
        <v>22</v>
      </c>
      <c r="P38" t="str">
        <f t="shared" si="0"/>
        <v>점심, 저녁</v>
      </c>
      <c r="Q38" t="str">
        <f t="shared" si="1"/>
        <v>{ 카테고리: "양식", 음식: "파스타", 음식구분: "메인반찬", 제철: "사계절", 재료: "파스타 면, 토마토, 마늘, 베이컨", 식사구분: ["점심", "저녁"], 영양분류: "탄수화물", 주재료분류: "면", 조리방식: "볶음", 조리시간: "25분", 알레르기: "밀" },</v>
      </c>
    </row>
    <row r="39" spans="2:17">
      <c r="B39" t="s">
        <v>166</v>
      </c>
      <c r="C39" t="s">
        <v>169</v>
      </c>
      <c r="D39" t="s">
        <v>64</v>
      </c>
      <c r="E39" t="s">
        <v>16</v>
      </c>
      <c r="F39" t="s">
        <v>170</v>
      </c>
      <c r="G39" t="s">
        <v>37</v>
      </c>
      <c r="H39" t="s">
        <v>38</v>
      </c>
      <c r="I39" t="s">
        <v>80</v>
      </c>
      <c r="J39" t="s">
        <v>62</v>
      </c>
      <c r="K39" t="s">
        <v>76</v>
      </c>
      <c r="N39" t="s">
        <v>22</v>
      </c>
      <c r="P39" t="str">
        <f t="shared" si="0"/>
        <v>저녁</v>
      </c>
      <c r="Q39" t="str">
        <f t="shared" si="1"/>
        <v>{ 카테고리: "양식", 음식: "스테이크", 음식구분: "메인반찬", 제철: "사계절", 재료: "소고기 안심, 아스파라거스, 방울토마토", 식사구분: ["저녁"], 영양분류: "고단백", 주재료분류: "육류", 조리방식: "구이", 조리시간: "30분", 알레르기: "없음" },</v>
      </c>
    </row>
    <row r="40" spans="2:17">
      <c r="B40" t="s">
        <v>166</v>
      </c>
      <c r="C40" t="s">
        <v>171</v>
      </c>
      <c r="D40" t="s">
        <v>64</v>
      </c>
      <c r="E40" t="s">
        <v>16</v>
      </c>
      <c r="F40" t="s">
        <v>172</v>
      </c>
      <c r="G40" t="s">
        <v>93</v>
      </c>
      <c r="H40" t="s">
        <v>95</v>
      </c>
      <c r="I40" t="s">
        <v>80</v>
      </c>
      <c r="J40" t="s">
        <v>135</v>
      </c>
      <c r="K40" t="s">
        <v>39</v>
      </c>
      <c r="M40" t="s">
        <v>22</v>
      </c>
      <c r="N40" t="s">
        <v>22</v>
      </c>
      <c r="P40" t="str">
        <f t="shared" si="0"/>
        <v>점심, 저녁</v>
      </c>
      <c r="Q40" t="str">
        <f t="shared" si="1"/>
        <v>{ 카테고리: "양식", 음식: "피자", 음식구분: "메인반찬", 제철: "사계절", 재료: "밀가루 도우, 치즈, 페퍼로니, 양송이", 식사구분: ["점심", "저녁"], 영양분류: "고열량", 주재료분류: "밀", 조리방식: "구이", 조리시간: "40분", 알레르기: "밀, 우유" },</v>
      </c>
    </row>
    <row r="41" spans="2:17">
      <c r="B41" t="s">
        <v>166</v>
      </c>
      <c r="C41" t="s">
        <v>173</v>
      </c>
      <c r="D41" t="s">
        <v>64</v>
      </c>
      <c r="E41" t="s">
        <v>16</v>
      </c>
      <c r="F41" t="s">
        <v>174</v>
      </c>
      <c r="G41" t="s">
        <v>31</v>
      </c>
      <c r="H41" t="s">
        <v>38</v>
      </c>
      <c r="I41" t="s">
        <v>80</v>
      </c>
      <c r="J41" t="s">
        <v>72</v>
      </c>
      <c r="K41" t="s">
        <v>39</v>
      </c>
      <c r="M41" t="s">
        <v>22</v>
      </c>
      <c r="N41" t="s">
        <v>22</v>
      </c>
      <c r="P41" t="str">
        <f t="shared" si="0"/>
        <v>점심, 저녁</v>
      </c>
      <c r="Q41" t="str">
        <f t="shared" si="1"/>
        <v>{ 카테고리: "양식", 음식: "햄버거", 음식구분: "메인반찬", 제철: "사계절", 재료: "소고기 패티, 빵, 양상추, 토마토, 치즈", 식사구분: ["점심", "저녁"], 영양분류: "단백질+탄수화물", 주재료분류: "육류", 조리방식: "구이", 조리시간: "25분", 알레르기: "밀, 우유" },</v>
      </c>
    </row>
    <row r="42" spans="2:17">
      <c r="B42" t="s">
        <v>166</v>
      </c>
      <c r="C42" t="s">
        <v>175</v>
      </c>
      <c r="D42" t="s">
        <v>64</v>
      </c>
      <c r="E42" t="s">
        <v>16</v>
      </c>
      <c r="F42" t="s">
        <v>176</v>
      </c>
      <c r="G42" t="s">
        <v>177</v>
      </c>
      <c r="H42" t="s">
        <v>178</v>
      </c>
      <c r="I42" t="s">
        <v>52</v>
      </c>
      <c r="J42" t="s">
        <v>20</v>
      </c>
      <c r="K42" t="s">
        <v>76</v>
      </c>
      <c r="L42" t="s">
        <v>22</v>
      </c>
      <c r="M42" t="s">
        <v>22</v>
      </c>
      <c r="N42" t="s">
        <v>22</v>
      </c>
      <c r="P42" t="str">
        <f t="shared" si="0"/>
        <v>아침, 점심, 저녁</v>
      </c>
      <c r="Q42" t="str">
        <f t="shared" si="1"/>
        <v>{ 카테고리: "양식", 음식: "샐러드", 음식구분: "메인반찬", 제철: "사계절", 재료: "양상추, 닭가슴살, 방울토마토, 오이", 식사구분: ["아침", "점심", "저녁"], 영양분류: "저열량+고단백", 주재료분류: "채소", 조리방식: "생식", 조리시간: "10분", 알레르기: "없음" },</v>
      </c>
    </row>
    <row r="43" spans="2:17">
      <c r="B43" t="s">
        <v>166</v>
      </c>
      <c r="C43" t="s">
        <v>179</v>
      </c>
      <c r="D43" t="s">
        <v>64</v>
      </c>
      <c r="E43" t="s">
        <v>16</v>
      </c>
      <c r="F43" t="s">
        <v>180</v>
      </c>
      <c r="G43" t="s">
        <v>124</v>
      </c>
      <c r="H43" t="s">
        <v>67</v>
      </c>
      <c r="I43" t="s">
        <v>75</v>
      </c>
      <c r="J43" t="s">
        <v>62</v>
      </c>
      <c r="K43" t="s">
        <v>28</v>
      </c>
      <c r="M43" t="s">
        <v>22</v>
      </c>
      <c r="N43" t="s">
        <v>22</v>
      </c>
      <c r="P43" t="str">
        <f t="shared" si="0"/>
        <v>점심, 저녁</v>
      </c>
      <c r="Q43" t="str">
        <f t="shared" si="1"/>
        <v>{ 카테고리: "양식", 음식: "리조또", 음식구분: "메인반찬", 제철: "사계절", 재료: "쌀, 양송이버섯, 우유, 베이컨", 식사구분: ["점심", "저녁"], 영양분류: "탄수화물", 주재료분류: "밥", 조리방식: "볶음", 조리시간: "30분", 알레르기: "우유" },</v>
      </c>
    </row>
    <row r="44" spans="2:17">
      <c r="B44" t="s">
        <v>181</v>
      </c>
      <c r="C44" t="s">
        <v>182</v>
      </c>
      <c r="D44" t="s">
        <v>64</v>
      </c>
      <c r="E44" t="s">
        <v>16</v>
      </c>
      <c r="F44" t="s">
        <v>183</v>
      </c>
      <c r="G44" t="s">
        <v>124</v>
      </c>
      <c r="H44" t="s">
        <v>184</v>
      </c>
      <c r="I44" t="s">
        <v>75</v>
      </c>
      <c r="J44" t="s">
        <v>72</v>
      </c>
      <c r="K44" t="s">
        <v>56</v>
      </c>
      <c r="M44" t="s">
        <v>22</v>
      </c>
      <c r="N44" t="s">
        <v>22</v>
      </c>
      <c r="P44" t="str">
        <f t="shared" si="0"/>
        <v>점심, 저녁</v>
      </c>
      <c r="Q44" t="str">
        <f t="shared" si="1"/>
        <v>{ 카테고리: "분식", 음식: "떡볶이", 음식구분: "메인반찬", 제철: "사계절", 재료: "떡, 어묵, 대파, 계란", 식사구분: ["점심", "저녁"], 영양분류: "탄수화물", 주재료분류: "떡", 조리방식: "볶음", 조리시간: "25분", 알레르기: "계란, 생선" },</v>
      </c>
    </row>
    <row r="45" spans="2:17">
      <c r="B45" t="s">
        <v>181</v>
      </c>
      <c r="C45" t="s">
        <v>185</v>
      </c>
      <c r="D45" t="s">
        <v>64</v>
      </c>
      <c r="E45" t="s">
        <v>16</v>
      </c>
      <c r="F45" t="s">
        <v>186</v>
      </c>
      <c r="G45" t="s">
        <v>187</v>
      </c>
      <c r="H45" t="s">
        <v>67</v>
      </c>
      <c r="I45" t="s">
        <v>14</v>
      </c>
      <c r="J45" t="s">
        <v>62</v>
      </c>
      <c r="K45" t="s">
        <v>32</v>
      </c>
      <c r="L45" t="s">
        <v>22</v>
      </c>
      <c r="M45" t="s">
        <v>22</v>
      </c>
      <c r="P45" t="str">
        <f t="shared" si="0"/>
        <v>아침, 점심</v>
      </c>
      <c r="Q45" t="str">
        <f t="shared" si="1"/>
        <v>{ 카테고리: "분식", 음식: "김밥", 음식구분: "메인반찬", 제철: "사계절", 재료: "밥, 김, 단무지, 계란, 시금치, 햄", 식사구분: ["아침", "점심"], 영양분류: "간편 균형식", 주재료분류: "밥", 조리방식: "간단식", 조리시간: "30분", 알레르기: "계란" },</v>
      </c>
    </row>
    <row r="46" spans="2:17">
      <c r="B46" t="s">
        <v>181</v>
      </c>
      <c r="C46" t="s">
        <v>188</v>
      </c>
      <c r="D46" t="s">
        <v>64</v>
      </c>
      <c r="E46" t="s">
        <v>16</v>
      </c>
      <c r="F46" t="s">
        <v>189</v>
      </c>
      <c r="G46" t="s">
        <v>134</v>
      </c>
      <c r="H46" t="s">
        <v>129</v>
      </c>
      <c r="I46" t="s">
        <v>134</v>
      </c>
      <c r="J46" t="s">
        <v>62</v>
      </c>
      <c r="K46" t="s">
        <v>190</v>
      </c>
      <c r="M46" t="s">
        <v>22</v>
      </c>
      <c r="N46" t="s">
        <v>22</v>
      </c>
      <c r="P46" t="str">
        <f t="shared" si="0"/>
        <v>점심, 저녁</v>
      </c>
      <c r="Q46" t="str">
        <f t="shared" si="1"/>
        <v>{ 카테고리: "분식", 음식: "모둠튀김", 음식구분: "메인반찬", 제철: "사계절", 재료: "오징어, 고구마, 새우", 식사구분: ["점심", "저녁"], 영양분류: "튀김", 주재료분류: "해산물", 조리방식: "튀김", 조리시간: "30분", 알레르기: "새우, 오징어, 밀" },</v>
      </c>
    </row>
    <row r="47" spans="2:17">
      <c r="B47" t="s">
        <v>181</v>
      </c>
      <c r="C47" t="s">
        <v>191</v>
      </c>
      <c r="D47" t="s">
        <v>64</v>
      </c>
      <c r="E47" t="s">
        <v>16</v>
      </c>
      <c r="F47" t="s">
        <v>192</v>
      </c>
      <c r="G47" t="s">
        <v>143</v>
      </c>
      <c r="H47" t="s">
        <v>38</v>
      </c>
      <c r="I47" t="s">
        <v>83</v>
      </c>
      <c r="J47" t="s">
        <v>108</v>
      </c>
      <c r="K47" t="s">
        <v>76</v>
      </c>
      <c r="M47" t="s">
        <v>22</v>
      </c>
      <c r="N47" t="s">
        <v>22</v>
      </c>
      <c r="P47" t="str">
        <f t="shared" si="0"/>
        <v>점심, 저녁</v>
      </c>
      <c r="Q47" t="str">
        <f t="shared" si="1"/>
        <v>{ 카테고리: "분식", 음식: "순대", 음식구분: "메인반찬", 제철: "사계절", 재료: "돼지 창자, 당면, 돼지 간", 식사구분: ["점심", "저녁"], 영양분류: "탄수화물+단백질", 주재료분류: "육류", 조리방식: "찜", 조리시간: "20분", 알레르기: "없음" },</v>
      </c>
    </row>
    <row r="48" spans="2:17">
      <c r="B48" t="s">
        <v>181</v>
      </c>
      <c r="C48" t="s">
        <v>193</v>
      </c>
      <c r="D48" t="s">
        <v>125</v>
      </c>
      <c r="E48" t="s">
        <v>97</v>
      </c>
      <c r="F48" t="s">
        <v>194</v>
      </c>
      <c r="G48" t="s">
        <v>195</v>
      </c>
      <c r="H48" t="s">
        <v>125</v>
      </c>
      <c r="I48" t="s">
        <v>68</v>
      </c>
      <c r="J48" t="s">
        <v>108</v>
      </c>
      <c r="K48" t="s">
        <v>151</v>
      </c>
      <c r="M48" t="s">
        <v>22</v>
      </c>
      <c r="N48" t="s">
        <v>22</v>
      </c>
      <c r="P48" t="str">
        <f t="shared" si="0"/>
        <v>점심, 저녁</v>
      </c>
      <c r="Q48" t="str">
        <f t="shared" si="1"/>
        <v>{ 카테고리: "분식", 음식: "쫄면", 음식구분: "면", 제철: "여름", 재료: "쫄면 면, 콩나물, 오이, 계란", 식사구분: ["점심", "저녁"], 영양분류: "탄수화물+채소", 주재료분류: "면", 조리방식: "비빔", 조리시간: "20분", 알레르기: "밀, 계란" },</v>
      </c>
    </row>
    <row r="49" spans="2:17">
      <c r="B49" t="s">
        <v>196</v>
      </c>
      <c r="C49" t="s">
        <v>197</v>
      </c>
      <c r="D49" t="s">
        <v>125</v>
      </c>
      <c r="E49" t="s">
        <v>16</v>
      </c>
      <c r="F49" t="s">
        <v>198</v>
      </c>
      <c r="G49" t="s">
        <v>199</v>
      </c>
      <c r="H49" t="s">
        <v>125</v>
      </c>
      <c r="I49" t="s">
        <v>43</v>
      </c>
      <c r="J49" t="s">
        <v>62</v>
      </c>
      <c r="K49" t="s">
        <v>76</v>
      </c>
      <c r="M49" t="s">
        <v>22</v>
      </c>
      <c r="N49" t="s">
        <v>22</v>
      </c>
      <c r="P49" t="str">
        <f t="shared" si="0"/>
        <v>점심, 저녁</v>
      </c>
      <c r="Q49" t="str">
        <f t="shared" si="1"/>
        <v>{ 카테고리: "아시안", 음식: "쌀국수", 음식구분: "면", 제철: "사계절", 재료: "쌀국수 면, 소고기, 양파, 숙주", 식사구분: ["점심", "저녁"], 영양분류: "국물+단백질", 주재료분류: "면", 조리방식: "국물", 조리시간: "30분", 알레르기: "없음" },</v>
      </c>
    </row>
    <row r="50" spans="2:17">
      <c r="B50" t="s">
        <v>196</v>
      </c>
      <c r="C50" t="s">
        <v>200</v>
      </c>
      <c r="D50" t="s">
        <v>125</v>
      </c>
      <c r="E50" t="s">
        <v>16</v>
      </c>
      <c r="F50" t="s">
        <v>201</v>
      </c>
      <c r="G50" t="s">
        <v>143</v>
      </c>
      <c r="H50" t="s">
        <v>125</v>
      </c>
      <c r="I50" t="s">
        <v>75</v>
      </c>
      <c r="J50" t="s">
        <v>62</v>
      </c>
      <c r="K50" t="s">
        <v>202</v>
      </c>
      <c r="M50" t="s">
        <v>22</v>
      </c>
      <c r="N50" t="s">
        <v>22</v>
      </c>
      <c r="P50" t="str">
        <f t="shared" si="0"/>
        <v>점심, 저녁</v>
      </c>
      <c r="Q50" t="str">
        <f t="shared" si="1"/>
        <v>{ 카테고리: "아시안", 음식: "팟타이", 음식구분: "면", 제철: "사계절", 재료: "쌀국수 면, 새우, 숙주, 땅콩, 계란", 식사구분: ["점심", "저녁"], 영양분류: "탄수화물+단백질", 주재료분류: "면", 조리방식: "볶음", 조리시간: "30분", 알레르기: "새우, 땅콩, 계란" },</v>
      </c>
    </row>
    <row r="51" spans="2:17">
      <c r="B51" t="s">
        <v>196</v>
      </c>
      <c r="C51" t="s">
        <v>203</v>
      </c>
      <c r="D51" t="s">
        <v>64</v>
      </c>
      <c r="E51" t="s">
        <v>16</v>
      </c>
      <c r="F51" t="s">
        <v>204</v>
      </c>
      <c r="G51" t="s">
        <v>143</v>
      </c>
      <c r="H51" t="s">
        <v>67</v>
      </c>
      <c r="I51" t="s">
        <v>161</v>
      </c>
      <c r="J51" t="s">
        <v>62</v>
      </c>
      <c r="K51" t="s">
        <v>95</v>
      </c>
      <c r="M51" t="s">
        <v>22</v>
      </c>
      <c r="N51" t="s">
        <v>22</v>
      </c>
      <c r="P51" t="str">
        <f t="shared" si="0"/>
        <v>점심, 저녁</v>
      </c>
      <c r="Q51" t="str">
        <f t="shared" si="1"/>
        <v>{ 카테고리: "아시안", 음식: "카레라이스", 음식구분: "메인반찬", 제철: "사계절", 재료: "감자, 당근, 돼지고기, 양파, 밥", 식사구분: ["점심", "저녁"], 영양분류: "탄수화물+단백질", 주재료분류: "밥", 조리방식: "덮밥", 조리시간: "30분", 알레르기: "밀" },</v>
      </c>
    </row>
    <row r="52" spans="2:17">
      <c r="B52" t="s">
        <v>196</v>
      </c>
      <c r="C52" t="s">
        <v>205</v>
      </c>
      <c r="D52" t="s">
        <v>64</v>
      </c>
      <c r="E52" t="s">
        <v>16</v>
      </c>
      <c r="F52" t="s">
        <v>206</v>
      </c>
      <c r="G52" t="s">
        <v>143</v>
      </c>
      <c r="H52" t="s">
        <v>67</v>
      </c>
      <c r="I52" t="s">
        <v>75</v>
      </c>
      <c r="J52" t="s">
        <v>72</v>
      </c>
      <c r="K52" t="s">
        <v>144</v>
      </c>
      <c r="M52" t="s">
        <v>22</v>
      </c>
      <c r="N52" t="s">
        <v>22</v>
      </c>
      <c r="P52" t="str">
        <f t="shared" si="0"/>
        <v>점심, 저녁</v>
      </c>
      <c r="Q52" t="str">
        <f t="shared" si="1"/>
        <v>{ 카테고리: "아시안", 음식: "나시고렝", 음식구분: "메인반찬", 제철: "사계절", 재료: "밥, 계란, 새우, 양파, 숙주", 식사구분: ["점심", "저녁"], 영양분류: "탄수화물+단백질", 주재료분류: "밥", 조리방식: "볶음", 조리시간: "25분", 알레르기: "계란, 새우" },</v>
      </c>
    </row>
    <row r="53" spans="2:17">
      <c r="B53" t="s">
        <v>196</v>
      </c>
      <c r="C53" t="s">
        <v>207</v>
      </c>
      <c r="D53" t="s">
        <v>64</v>
      </c>
      <c r="E53" t="s">
        <v>97</v>
      </c>
      <c r="F53" t="s">
        <v>208</v>
      </c>
      <c r="G53" t="s">
        <v>177</v>
      </c>
      <c r="H53" t="s">
        <v>178</v>
      </c>
      <c r="I53" t="s">
        <v>52</v>
      </c>
      <c r="J53" t="s">
        <v>72</v>
      </c>
      <c r="K53" t="s">
        <v>209</v>
      </c>
      <c r="M53" t="s">
        <v>22</v>
      </c>
      <c r="N53" t="s">
        <v>22</v>
      </c>
      <c r="P53" t="str">
        <f t="shared" si="0"/>
        <v>점심, 저녁</v>
      </c>
      <c r="Q53" t="str">
        <f t="shared" si="1"/>
        <v>{ 카테고리: "아시안", 음식: "월남쌈", 음식구분: "메인반찬", 제철: "여름", 재료: "라이스페이퍼, 새우, 닭가슴살, 파프리카, 오이", 식사구분: ["점심", "저녁"], 영양분류: "저열량+고단백", 주재료분류: "채소", 조리방식: "생식", 조리시간: "25분", 알레르기: "새우" },</v>
      </c>
    </row>
    <row r="54" spans="2:17">
      <c r="B54" t="s">
        <v>57</v>
      </c>
      <c r="C54" t="s">
        <v>210</v>
      </c>
      <c r="D54" t="s">
        <v>64</v>
      </c>
      <c r="E54" t="s">
        <v>16</v>
      </c>
      <c r="F54" t="s">
        <v>211</v>
      </c>
      <c r="G54" t="s">
        <v>37</v>
      </c>
      <c r="H54" t="s">
        <v>38</v>
      </c>
      <c r="I54" t="s">
        <v>75</v>
      </c>
      <c r="J54" t="s">
        <v>62</v>
      </c>
      <c r="K54" t="s">
        <v>47</v>
      </c>
      <c r="M54" t="s">
        <v>22</v>
      </c>
      <c r="N54" t="s">
        <v>22</v>
      </c>
      <c r="P54" t="str">
        <f t="shared" si="0"/>
        <v>점심, 저녁</v>
      </c>
      <c r="Q54" t="str">
        <f t="shared" si="1"/>
        <v>{ 카테고리: "한식", 음식: "소불고기", 음식구분: "메인반찬", 제철: "사계절", 재료: "소고기, 양파, 대파, 당근, 간장", 식사구분: ["점심", "저녁"], 영양분류: "고단백", 주재료분류: "육류", 조리방식: "볶음", 조리시간: "30분", 알레르기: "대두" },</v>
      </c>
    </row>
    <row r="55" spans="2:17">
      <c r="B55" t="s">
        <v>57</v>
      </c>
      <c r="C55" t="s">
        <v>212</v>
      </c>
      <c r="D55" t="s">
        <v>64</v>
      </c>
      <c r="E55" t="s">
        <v>16</v>
      </c>
      <c r="F55" t="s">
        <v>213</v>
      </c>
      <c r="G55" t="s">
        <v>37</v>
      </c>
      <c r="H55" t="s">
        <v>38</v>
      </c>
      <c r="I55" t="s">
        <v>214</v>
      </c>
      <c r="J55" t="s">
        <v>215</v>
      </c>
      <c r="K55" t="s">
        <v>76</v>
      </c>
      <c r="M55" t="s">
        <v>22</v>
      </c>
      <c r="N55" t="s">
        <v>22</v>
      </c>
      <c r="P55" t="str">
        <f t="shared" si="0"/>
        <v>점심, 저녁</v>
      </c>
      <c r="Q55" t="str">
        <f t="shared" si="1"/>
        <v>{ 카테고리: "한식", 음식: "닭볶음탕", 음식구분: "메인반찬", 제철: "사계절", 재료: "닭고기, 감자, 당근, 양파, 대파", 식사구분: ["점심", "저녁"], 영양분류: "고단백", 주재료분류: "육류", 조리방식: "조림", 조리시간: "45분", 알레르기: "없음" },</v>
      </c>
    </row>
    <row r="56" spans="2:17">
      <c r="B56" t="s">
        <v>57</v>
      </c>
      <c r="C56" t="s">
        <v>216</v>
      </c>
      <c r="D56" t="s">
        <v>64</v>
      </c>
      <c r="E56" t="s">
        <v>110</v>
      </c>
      <c r="F56" t="s">
        <v>217</v>
      </c>
      <c r="G56" t="s">
        <v>37</v>
      </c>
      <c r="H56" t="s">
        <v>55</v>
      </c>
      <c r="I56" t="s">
        <v>214</v>
      </c>
      <c r="J56" t="s">
        <v>150</v>
      </c>
      <c r="K56" t="s">
        <v>55</v>
      </c>
      <c r="M56" t="s">
        <v>22</v>
      </c>
      <c r="N56" t="s">
        <v>22</v>
      </c>
      <c r="P56" t="str">
        <f t="shared" si="0"/>
        <v>점심, 저녁</v>
      </c>
      <c r="Q56" t="str">
        <f t="shared" si="1"/>
        <v>{ 카테고리: "한식", 음식: "갈치조림", 음식구분: "메인반찬", 제철: "7월~10월", 재료: "갈치, 무, 양파, 대파, 고춧가루", 식사구분: ["점심", "저녁"], 영양분류: "고단백", 주재료분류: "생선", 조리방식: "조림", 조리시간: "35분", 알레르기: "생선" },</v>
      </c>
    </row>
    <row r="57" spans="2:17">
      <c r="B57" t="s">
        <v>57</v>
      </c>
      <c r="C57" t="s">
        <v>218</v>
      </c>
      <c r="D57" t="s">
        <v>64</v>
      </c>
      <c r="E57" t="s">
        <v>16</v>
      </c>
      <c r="F57" t="s">
        <v>219</v>
      </c>
      <c r="G57" t="s">
        <v>50</v>
      </c>
      <c r="H57" t="s">
        <v>51</v>
      </c>
      <c r="I57" t="s">
        <v>214</v>
      </c>
      <c r="J57" t="s">
        <v>108</v>
      </c>
      <c r="K57" t="s">
        <v>47</v>
      </c>
      <c r="M57" t="s">
        <v>22</v>
      </c>
      <c r="N57" t="s">
        <v>22</v>
      </c>
      <c r="P57" t="str">
        <f t="shared" si="0"/>
        <v>점심, 저녁</v>
      </c>
      <c r="Q57" t="str">
        <f t="shared" si="1"/>
        <v>{ 카테고리: "한식", 음식: "두부조림", 음식구분: "메인반찬", 제철: "사계절", 재료: "두부, 대파, 양파, 간장, 고춧가루", 식사구분: ["점심", "저녁"], 영양분류: "식물성 단백질", 주재료분류: "두부", 조리방식: "조림", 조리시간: "20분", 알레르기: "대두" },</v>
      </c>
    </row>
    <row r="58" spans="2:17">
      <c r="B58" t="s">
        <v>57</v>
      </c>
      <c r="C58" t="s">
        <v>220</v>
      </c>
      <c r="D58" t="s">
        <v>64</v>
      </c>
      <c r="E58" t="s">
        <v>16</v>
      </c>
      <c r="F58" t="s">
        <v>221</v>
      </c>
      <c r="G58" t="s">
        <v>138</v>
      </c>
      <c r="H58" t="s">
        <v>32</v>
      </c>
      <c r="I58" t="s">
        <v>222</v>
      </c>
      <c r="J58" t="s">
        <v>33</v>
      </c>
      <c r="K58" t="s">
        <v>32</v>
      </c>
      <c r="L58" t="s">
        <v>22</v>
      </c>
      <c r="M58" t="s">
        <v>22</v>
      </c>
      <c r="N58" t="s">
        <v>22</v>
      </c>
      <c r="P58" t="str">
        <f t="shared" si="0"/>
        <v>아침, 점심, 저녁</v>
      </c>
      <c r="Q58" t="str">
        <f t="shared" si="1"/>
        <v>{ 카테고리: "한식", 음식: "계란말이", 음식구분: "메인반찬", 제철: "사계절", 재료: "계란, 대파, 당근, 소금", 식사구분: ["아침", "점심", "저녁"], 영양분류: "단백질", 주재료분류: "계란", 조리방식: "부침", 조리시간: "15분", 알레르기: "계란" },</v>
      </c>
    </row>
    <row r="59" spans="2:17">
      <c r="B59" t="s">
        <v>57</v>
      </c>
      <c r="C59" t="s">
        <v>223</v>
      </c>
      <c r="D59" t="s">
        <v>64</v>
      </c>
      <c r="E59" t="s">
        <v>224</v>
      </c>
      <c r="F59" t="s">
        <v>225</v>
      </c>
      <c r="G59" t="s">
        <v>37</v>
      </c>
      <c r="H59" t="s">
        <v>129</v>
      </c>
      <c r="I59" t="s">
        <v>75</v>
      </c>
      <c r="J59" t="s">
        <v>72</v>
      </c>
      <c r="K59" t="s">
        <v>226</v>
      </c>
      <c r="M59" t="s">
        <v>22</v>
      </c>
      <c r="N59" t="s">
        <v>22</v>
      </c>
      <c r="P59" t="str">
        <f t="shared" si="0"/>
        <v>점심, 저녁</v>
      </c>
      <c r="Q59" t="str">
        <f t="shared" si="1"/>
        <v>{ 카테고리: "한식", 음식: "오징어볶음", 음식구분: "메인반찬", 제철: "7월~11월", 재료: "오징어, 양파, 대파, 양배추, 고추장", 식사구분: ["점심", "저녁"], 영양분류: "고단백", 주재료분류: "해산물", 조리방식: "볶음", 조리시간: "25분", 알레르기: "오징어" },</v>
      </c>
    </row>
    <row r="60" spans="2:17">
      <c r="B60" t="s">
        <v>57</v>
      </c>
      <c r="C60" t="s">
        <v>227</v>
      </c>
      <c r="D60" t="s">
        <v>228</v>
      </c>
      <c r="E60" t="s">
        <v>87</v>
      </c>
      <c r="F60" t="s">
        <v>229</v>
      </c>
      <c r="G60" t="s">
        <v>230</v>
      </c>
      <c r="H60" t="s">
        <v>178</v>
      </c>
      <c r="I60" t="s">
        <v>231</v>
      </c>
      <c r="J60" t="s">
        <v>20</v>
      </c>
      <c r="K60" t="s">
        <v>232</v>
      </c>
      <c r="L60" t="s">
        <v>22</v>
      </c>
      <c r="M60" t="s">
        <v>22</v>
      </c>
      <c r="N60" t="s">
        <v>22</v>
      </c>
      <c r="P60" t="str">
        <f t="shared" si="0"/>
        <v>아침, 점심, 저녁</v>
      </c>
      <c r="Q60" t="str">
        <f t="shared" si="1"/>
        <v>{ 카테고리: "한식", 음식: "시금치나물", 음식구분: "밑반찬", 제철: "겨울", 재료: "시금치, 참기름, 마늘, 깨", 식사구분: ["아침", "점심", "저녁"], 영양분류: "채소+비타민", 주재료분류: "채소", 조리방식: "무침", 조리시간: "10분", 알레르기: "참깨" },</v>
      </c>
    </row>
    <row r="61" spans="2:17">
      <c r="B61" t="s">
        <v>57</v>
      </c>
      <c r="C61" t="s">
        <v>233</v>
      </c>
      <c r="D61" t="s">
        <v>228</v>
      </c>
      <c r="E61" t="s">
        <v>16</v>
      </c>
      <c r="F61" t="s">
        <v>234</v>
      </c>
      <c r="G61" t="s">
        <v>235</v>
      </c>
      <c r="H61" t="s">
        <v>178</v>
      </c>
      <c r="I61" t="s">
        <v>231</v>
      </c>
      <c r="J61" t="s">
        <v>20</v>
      </c>
      <c r="K61" t="s">
        <v>47</v>
      </c>
      <c r="L61" t="s">
        <v>22</v>
      </c>
      <c r="M61" t="s">
        <v>22</v>
      </c>
      <c r="N61" t="s">
        <v>22</v>
      </c>
      <c r="P61" t="str">
        <f t="shared" si="0"/>
        <v>아침, 점심, 저녁</v>
      </c>
      <c r="Q61" t="str">
        <f t="shared" si="1"/>
        <v>{ 카테고리: "한식", 음식: "콩나물무침", 음식구분: "밑반찬", 제철: "사계절", 재료: "콩나물, 대파, 마늘, 참기름", 식사구분: ["아침", "점심", "저녁"], 영양분류: "식이섬유", 주재료분류: "채소", 조리방식: "무침", 조리시간: "10분", 알레르기: "대두" },</v>
      </c>
    </row>
    <row r="62" spans="2:17">
      <c r="B62" t="s">
        <v>57</v>
      </c>
      <c r="C62" t="s">
        <v>236</v>
      </c>
      <c r="D62" t="s">
        <v>228</v>
      </c>
      <c r="E62" t="s">
        <v>16</v>
      </c>
      <c r="F62" t="s">
        <v>237</v>
      </c>
      <c r="G62" t="s">
        <v>238</v>
      </c>
      <c r="H62" t="s">
        <v>178</v>
      </c>
      <c r="I62" t="s">
        <v>231</v>
      </c>
      <c r="J62" t="s">
        <v>20</v>
      </c>
      <c r="K62" t="s">
        <v>47</v>
      </c>
      <c r="L62" t="s">
        <v>22</v>
      </c>
      <c r="M62" t="s">
        <v>22</v>
      </c>
      <c r="N62" t="s">
        <v>22</v>
      </c>
      <c r="P62" t="str">
        <f t="shared" si="0"/>
        <v>아침, 점심, 저녁</v>
      </c>
      <c r="Q62" t="str">
        <f t="shared" si="1"/>
        <v>{ 카테고리: "한식", 음식: "숙주나물무침", 음식구분: "밑반찬", 제철: "사계절", 재료: "숙주, 대파, 마늘, 참기름", 식사구분: ["아침", "점심", "저녁"], 영양분류: "저열량+식이섬유", 주재료분류: "채소", 조리방식: "무침", 조리시간: "10분", 알레르기: "대두" },</v>
      </c>
    </row>
    <row r="63" spans="2:17">
      <c r="B63" t="s">
        <v>57</v>
      </c>
      <c r="C63" t="s">
        <v>239</v>
      </c>
      <c r="D63" t="s">
        <v>228</v>
      </c>
      <c r="E63" t="s">
        <v>240</v>
      </c>
      <c r="F63" t="s">
        <v>241</v>
      </c>
      <c r="G63" t="s">
        <v>235</v>
      </c>
      <c r="H63" t="s">
        <v>178</v>
      </c>
      <c r="I63" t="s">
        <v>75</v>
      </c>
      <c r="J63" t="s">
        <v>33</v>
      </c>
      <c r="K63" t="s">
        <v>76</v>
      </c>
      <c r="M63" t="s">
        <v>22</v>
      </c>
      <c r="N63" t="s">
        <v>22</v>
      </c>
      <c r="P63" t="str">
        <f t="shared" si="0"/>
        <v>점심, 저녁</v>
      </c>
      <c r="Q63" t="str">
        <f t="shared" si="1"/>
        <v>{ 카테고리: "한식", 음식: "고사리나물", 음식구분: "밑반찬", 제철: "봄", 재료: "고사리, 대파, 마늘, 들기름", 식사구분: ["점심", "저녁"], 영양분류: "식이섬유", 주재료분류: "채소", 조리방식: "볶음", 조리시간: "15분", 알레르기: "없음" },</v>
      </c>
    </row>
    <row r="64" spans="2:17">
      <c r="B64" t="s">
        <v>57</v>
      </c>
      <c r="C64" t="s">
        <v>242</v>
      </c>
      <c r="D64" t="s">
        <v>228</v>
      </c>
      <c r="E64" t="s">
        <v>240</v>
      </c>
      <c r="F64" t="s">
        <v>243</v>
      </c>
      <c r="G64" t="s">
        <v>244</v>
      </c>
      <c r="H64" t="s">
        <v>178</v>
      </c>
      <c r="I64" t="s">
        <v>231</v>
      </c>
      <c r="J64" t="s">
        <v>33</v>
      </c>
      <c r="K64" t="s">
        <v>232</v>
      </c>
      <c r="M64" t="s">
        <v>22</v>
      </c>
      <c r="N64" t="s">
        <v>22</v>
      </c>
      <c r="P64" t="str">
        <f t="shared" si="0"/>
        <v>점심, 저녁</v>
      </c>
      <c r="Q64" t="str">
        <f t="shared" si="1"/>
        <v>{ 카테고리: "한식", 음식: "도라지오이무침", 음식구분: "밑반찬", 제철: "봄", 재료: "도라지, 오이, 고추장, 식초, 깨", 식사구분: ["점심", "저녁"], 영양분류: "채소+식이섬유", 주재료분류: "채소", 조리방식: "무침", 조리시간: "15분", 알레르기: "참깨" },</v>
      </c>
    </row>
    <row r="65" spans="2:17">
      <c r="B65" t="s">
        <v>57</v>
      </c>
      <c r="C65" t="s">
        <v>245</v>
      </c>
      <c r="D65" t="s">
        <v>228</v>
      </c>
      <c r="E65" t="s">
        <v>97</v>
      </c>
      <c r="F65" t="s">
        <v>246</v>
      </c>
      <c r="G65" t="s">
        <v>244</v>
      </c>
      <c r="H65" t="s">
        <v>178</v>
      </c>
      <c r="I65" t="s">
        <v>231</v>
      </c>
      <c r="J65" t="s">
        <v>33</v>
      </c>
      <c r="K65" t="s">
        <v>247</v>
      </c>
      <c r="M65" t="s">
        <v>22</v>
      </c>
      <c r="N65" t="s">
        <v>22</v>
      </c>
      <c r="P65" t="str">
        <f t="shared" si="0"/>
        <v>점심, 저녁</v>
      </c>
      <c r="Q65" t="str">
        <f t="shared" si="1"/>
        <v>{ 카테고리: "한식", 음식: "가지나물", 음식구분: "밑반찬", 제철: "여름", 재료: "가지, 대파, 마늘, 간장, 참기름", 식사구분: ["점심", "저녁"], 영양분류: "채소+식이섬유", 주재료분류: "채소", 조리방식: "무침", 조리시간: "15분", 알레르기: "대두, 참깨" },</v>
      </c>
    </row>
    <row r="66" spans="2:17">
      <c r="B66" t="s">
        <v>57</v>
      </c>
      <c r="C66" t="s">
        <v>248</v>
      </c>
      <c r="D66" t="s">
        <v>228</v>
      </c>
      <c r="E66" t="s">
        <v>16</v>
      </c>
      <c r="F66" t="s">
        <v>249</v>
      </c>
      <c r="G66" t="s">
        <v>250</v>
      </c>
      <c r="H66" t="s">
        <v>251</v>
      </c>
      <c r="I66" t="s">
        <v>75</v>
      </c>
      <c r="J66" t="s">
        <v>33</v>
      </c>
      <c r="K66" t="s">
        <v>76</v>
      </c>
      <c r="M66" t="s">
        <v>22</v>
      </c>
      <c r="N66" t="s">
        <v>22</v>
      </c>
      <c r="P66" t="str">
        <f t="shared" si="0"/>
        <v>점심, 저녁</v>
      </c>
      <c r="Q66" t="str">
        <f t="shared" si="1"/>
        <v>{ 카테고리: "한식", 음식: "미역줄기볶음", 음식구분: "밑반찬", 제철: "사계절", 재료: "미역줄기, 양파, 당근, 마늘", 식사구분: ["점심", "저녁"], 영양분류: "해조류+식이섬유", 주재료분류: "해조류", 조리방식: "볶음", 조리시간: "15분", 알레르기: "없음" },</v>
      </c>
    </row>
    <row r="67" spans="2:17">
      <c r="B67" t="s">
        <v>57</v>
      </c>
      <c r="C67" t="s">
        <v>252</v>
      </c>
      <c r="D67" t="s">
        <v>228</v>
      </c>
      <c r="E67" t="s">
        <v>240</v>
      </c>
      <c r="F67" t="s">
        <v>253</v>
      </c>
      <c r="G67" t="s">
        <v>254</v>
      </c>
      <c r="H67" t="s">
        <v>178</v>
      </c>
      <c r="I67" t="s">
        <v>231</v>
      </c>
      <c r="J67" t="s">
        <v>33</v>
      </c>
      <c r="K67" t="s">
        <v>247</v>
      </c>
      <c r="M67" t="s">
        <v>22</v>
      </c>
      <c r="N67" t="s">
        <v>22</v>
      </c>
      <c r="P67" t="str">
        <f t="shared" ref="P67:P88" si="2">IF($C67="","",_xlfn.TEXTJOIN(", ",TRUE,IF(UPPER(TRIM($L67))="Y","아침",""),IF(UPPER(TRIM($M67))="Y","점심",""),IF(UPPER(TRIM($N67))="Y","저녁","")))</f>
        <v>점심, 저녁</v>
      </c>
      <c r="Q67" t="str">
        <f t="shared" ref="Q67:Q88" si="3">IF($C67="","","{ 카테고리: """&amp;$B67&amp;""", 음식: """&amp;$C67&amp;""", 음식구분: """&amp;$D67&amp;""", 제철: """&amp;$E67&amp;""", 재료: """&amp;$F67&amp;""", 식사구분: ["&amp;_xlfn.TEXTJOIN(", ",TRUE,IF(UPPER(TRIM($L67))="Y",CHAR(34)&amp;"아침"&amp;CHAR(34),""),IF(UPPER(TRIM($M67))="Y",CHAR(34)&amp;"점심"&amp;CHAR(34),""),IF(UPPER(TRIM($N67))="Y",CHAR(34)&amp;"저녁"&amp;CHAR(34),""))&amp;"], 영양분류: """&amp;$G67&amp;""", 주재료분류: """&amp;$H67&amp;""", 조리방식: """&amp;$I67&amp;""", 조리시간: """&amp;$J67&amp;""", 알레르기: """&amp;$K67&amp;""" },")</f>
        <v>{ 카테고리: "한식", 음식: "취나물무침", 음식구분: "밑반찬", 제철: "봄", 재료: "취나물, 된장, 마늘, 참기름", 식사구분: ["점심", "저녁"], 영양분류: "제철 채소", 주재료분류: "채소", 조리방식: "무침", 조리시간: "15분", 알레르기: "대두, 참깨" },</v>
      </c>
    </row>
    <row r="68" spans="2:17">
      <c r="B68" t="s">
        <v>57</v>
      </c>
      <c r="C68" t="s">
        <v>255</v>
      </c>
      <c r="D68" t="s">
        <v>228</v>
      </c>
      <c r="E68" t="s">
        <v>97</v>
      </c>
      <c r="F68" t="s">
        <v>256</v>
      </c>
      <c r="G68" t="s">
        <v>254</v>
      </c>
      <c r="H68" t="s">
        <v>178</v>
      </c>
      <c r="I68" t="s">
        <v>231</v>
      </c>
      <c r="J68" t="s">
        <v>33</v>
      </c>
      <c r="K68" t="s">
        <v>247</v>
      </c>
      <c r="M68" t="s">
        <v>22</v>
      </c>
      <c r="N68" t="s">
        <v>22</v>
      </c>
      <c r="P68" t="str">
        <f t="shared" si="2"/>
        <v>점심, 저녁</v>
      </c>
      <c r="Q68" t="str">
        <f t="shared" si="3"/>
        <v>{ 카테고리: "한식", 음식: "열무된장무침", 음식구분: "밑반찬", 제철: "여름", 재료: "열무, 된장, 마늘, 참기름", 식사구분: ["점심", "저녁"], 영양분류: "제철 채소", 주재료분류: "채소", 조리방식: "무침", 조리시간: "15분", 알레르기: "대두, 참깨" },</v>
      </c>
    </row>
    <row r="69" spans="2:17">
      <c r="B69" t="s">
        <v>57</v>
      </c>
      <c r="C69" t="s">
        <v>257</v>
      </c>
      <c r="D69" t="s">
        <v>228</v>
      </c>
      <c r="E69" t="s">
        <v>258</v>
      </c>
      <c r="F69" t="s">
        <v>259</v>
      </c>
      <c r="G69" t="s">
        <v>230</v>
      </c>
      <c r="H69" t="s">
        <v>178</v>
      </c>
      <c r="I69" t="s">
        <v>231</v>
      </c>
      <c r="J69" t="s">
        <v>20</v>
      </c>
      <c r="K69" t="s">
        <v>76</v>
      </c>
      <c r="L69" t="s">
        <v>22</v>
      </c>
      <c r="M69" t="s">
        <v>22</v>
      </c>
      <c r="N69" t="s">
        <v>22</v>
      </c>
      <c r="P69" t="str">
        <f t="shared" si="2"/>
        <v>아침, 점심, 저녁</v>
      </c>
      <c r="Q69" t="str">
        <f t="shared" si="3"/>
        <v>{ 카테고리: "한식", 음식: "무생채", 음식구분: "밑반찬", 제철: "가을", 재료: "무, 고춧가루, 식초, 설탕, 대파", 식사구분: ["아침", "점심", "저녁"], 영양분류: "채소+비타민", 주재료분류: "채소", 조리방식: "무침", 조리시간: "10분", 알레르기: "없음" },</v>
      </c>
    </row>
    <row r="70" spans="2:17">
      <c r="B70" t="s">
        <v>57</v>
      </c>
      <c r="C70" t="s">
        <v>260</v>
      </c>
      <c r="D70" t="s">
        <v>228</v>
      </c>
      <c r="E70" t="s">
        <v>97</v>
      </c>
      <c r="F70" t="s">
        <v>261</v>
      </c>
      <c r="G70" t="s">
        <v>244</v>
      </c>
      <c r="H70" t="s">
        <v>178</v>
      </c>
      <c r="I70" t="s">
        <v>75</v>
      </c>
      <c r="J70" t="s">
        <v>33</v>
      </c>
      <c r="K70" t="s">
        <v>209</v>
      </c>
      <c r="M70" t="s">
        <v>22</v>
      </c>
      <c r="N70" t="s">
        <v>22</v>
      </c>
      <c r="P70" t="str">
        <f t="shared" si="2"/>
        <v>점심, 저녁</v>
      </c>
      <c r="Q70" t="str">
        <f t="shared" si="3"/>
        <v>{ 카테고리: "한식", 음식: "애호박볶음", 음식구분: "밑반찬", 제철: "여름", 재료: "애호박, 양파, 새우젓, 마늘", 식사구분: ["점심", "저녁"], 영양분류: "채소+식이섬유", 주재료분류: "채소", 조리방식: "볶음", 조리시간: "15분", 알레르기: "새우" },</v>
      </c>
    </row>
    <row r="71" spans="2:17">
      <c r="B71" t="s">
        <v>57</v>
      </c>
      <c r="C71" t="s">
        <v>262</v>
      </c>
      <c r="D71" t="s">
        <v>86</v>
      </c>
      <c r="E71" t="s">
        <v>16</v>
      </c>
      <c r="F71" t="s">
        <v>263</v>
      </c>
      <c r="G71" t="s">
        <v>61</v>
      </c>
      <c r="H71" t="s">
        <v>38</v>
      </c>
      <c r="I71" t="s">
        <v>43</v>
      </c>
      <c r="J71" t="s">
        <v>150</v>
      </c>
      <c r="K71" t="s">
        <v>76</v>
      </c>
      <c r="L71" t="s">
        <v>22</v>
      </c>
      <c r="M71" t="s">
        <v>22</v>
      </c>
      <c r="N71" t="s">
        <v>22</v>
      </c>
      <c r="P71" t="str">
        <f t="shared" si="2"/>
        <v>아침, 점심, 저녁</v>
      </c>
      <c r="Q71" t="str">
        <f t="shared" si="3"/>
        <v>{ 카테고리: "한식", 음식: "소고기무국", 음식구분: "국/탕", 제철: "사계절", 재료: "소고기, 무, 대파, 마늘", 식사구분: ["아침", "점심", "저녁"], 영양분류: "단백질+국물", 주재료분류: "육류", 조리방식: "국물", 조리시간: "35분", 알레르기: "없음" },</v>
      </c>
    </row>
    <row r="72" spans="2:17">
      <c r="B72" t="s">
        <v>57</v>
      </c>
      <c r="C72" t="s">
        <v>264</v>
      </c>
      <c r="D72" t="s">
        <v>86</v>
      </c>
      <c r="E72" t="s">
        <v>16</v>
      </c>
      <c r="F72" t="s">
        <v>265</v>
      </c>
      <c r="G72" t="s">
        <v>266</v>
      </c>
      <c r="H72" t="s">
        <v>251</v>
      </c>
      <c r="I72" t="s">
        <v>43</v>
      </c>
      <c r="J72" t="s">
        <v>72</v>
      </c>
      <c r="K72" t="s">
        <v>47</v>
      </c>
      <c r="L72" t="s">
        <v>22</v>
      </c>
      <c r="M72" t="s">
        <v>22</v>
      </c>
      <c r="N72" t="s">
        <v>22</v>
      </c>
      <c r="P72" t="str">
        <f t="shared" si="2"/>
        <v>아침, 점심, 저녁</v>
      </c>
      <c r="Q72" t="str">
        <f t="shared" si="3"/>
        <v>{ 카테고리: "한식", 음식: "미역국", 음식구분: "국/탕", 제철: "사계절", 재료: "미역, 소고기, 마늘, 국간장", 식사구분: ["아침", "점심", "저녁"], 영양분류: "해조류+국물", 주재료분류: "해조류", 조리방식: "국물", 조리시간: "25분", 알레르기: "대두" },</v>
      </c>
    </row>
    <row r="73" spans="2:17">
      <c r="B73" t="s">
        <v>57</v>
      </c>
      <c r="C73" t="s">
        <v>267</v>
      </c>
      <c r="D73" t="s">
        <v>86</v>
      </c>
      <c r="E73" t="s">
        <v>16</v>
      </c>
      <c r="F73" t="s">
        <v>268</v>
      </c>
      <c r="G73" t="s">
        <v>157</v>
      </c>
      <c r="H73" t="s">
        <v>178</v>
      </c>
      <c r="I73" t="s">
        <v>43</v>
      </c>
      <c r="J73" t="s">
        <v>33</v>
      </c>
      <c r="K73" t="s">
        <v>269</v>
      </c>
      <c r="L73" t="s">
        <v>22</v>
      </c>
      <c r="M73" t="s">
        <v>22</v>
      </c>
      <c r="N73" t="s">
        <v>22</v>
      </c>
      <c r="P73" t="str">
        <f t="shared" si="2"/>
        <v>아침, 점심, 저녁</v>
      </c>
      <c r="Q73" t="str">
        <f t="shared" si="3"/>
        <v>{ 카테고리: "한식", 음식: "콩나물국", 음식구분: "국/탕", 제철: "사계절", 재료: "콩나물, 대파, 마늘, 멸치육수", 식사구분: ["아침", "점심", "저녁"], 영양분류: "가벼운 국물", 주재료분류: "채소", 조리방식: "국물", 조리시간: "15분", 알레르기: "대두, 생선" },</v>
      </c>
    </row>
    <row r="74" spans="2:17">
      <c r="B74" t="s">
        <v>57</v>
      </c>
      <c r="C74" t="s">
        <v>270</v>
      </c>
      <c r="D74" t="s">
        <v>86</v>
      </c>
      <c r="E74" t="s">
        <v>87</v>
      </c>
      <c r="F74" t="s">
        <v>271</v>
      </c>
      <c r="G74" t="s">
        <v>61</v>
      </c>
      <c r="H74" t="s">
        <v>55</v>
      </c>
      <c r="I74" t="s">
        <v>43</v>
      </c>
      <c r="J74" t="s">
        <v>108</v>
      </c>
      <c r="K74" t="s">
        <v>272</v>
      </c>
      <c r="L74" t="s">
        <v>22</v>
      </c>
      <c r="M74" t="s">
        <v>22</v>
      </c>
      <c r="N74" t="s">
        <v>22</v>
      </c>
      <c r="P74" t="str">
        <f t="shared" si="2"/>
        <v>아침, 점심, 저녁</v>
      </c>
      <c r="Q74" t="str">
        <f t="shared" si="3"/>
        <v>{ 카테고리: "한식", 음식: "북엇국", 음식구분: "국/탕", 제철: "겨울", 재료: "북어, 계란, 대파, 무", 식사구분: ["아침", "점심", "저녁"], 영양분류: "단백질+국물", 주재료분류: "생선", 조리방식: "국물", 조리시간: "20분", 알레르기: "생선, 계란" },</v>
      </c>
    </row>
    <row r="75" spans="2:17">
      <c r="B75" t="s">
        <v>57</v>
      </c>
      <c r="C75" t="s">
        <v>273</v>
      </c>
      <c r="D75" t="s">
        <v>86</v>
      </c>
      <c r="E75" t="s">
        <v>240</v>
      </c>
      <c r="F75" t="s">
        <v>274</v>
      </c>
      <c r="G75" t="s">
        <v>275</v>
      </c>
      <c r="H75" t="s">
        <v>178</v>
      </c>
      <c r="I75" t="s">
        <v>43</v>
      </c>
      <c r="J75" t="s">
        <v>108</v>
      </c>
      <c r="K75" t="s">
        <v>47</v>
      </c>
      <c r="L75" t="s">
        <v>22</v>
      </c>
      <c r="M75" t="s">
        <v>22</v>
      </c>
      <c r="N75" t="s">
        <v>22</v>
      </c>
      <c r="P75" t="str">
        <f t="shared" si="2"/>
        <v>아침, 점심, 저녁</v>
      </c>
      <c r="Q75" t="str">
        <f t="shared" si="3"/>
        <v>{ 카테고리: "한식", 음식: "냉이된장국", 음식구분: "국/탕", 제철: "봄", 재료: "냉이, 된장, 두부, 대파", 식사구분: ["아침", "점심", "저녁"], 영양분류: "제철 채소+국물", 주재료분류: "채소", 조리방식: "국물", 조리시간: "20분", 알레르기: "대두" },</v>
      </c>
    </row>
    <row r="76" spans="2:17">
      <c r="B76" t="s">
        <v>57</v>
      </c>
      <c r="C76" t="s">
        <v>276</v>
      </c>
      <c r="D76" t="s">
        <v>86</v>
      </c>
      <c r="E76" t="s">
        <v>97</v>
      </c>
      <c r="F76" t="s">
        <v>277</v>
      </c>
      <c r="G76" t="s">
        <v>275</v>
      </c>
      <c r="H76" t="s">
        <v>178</v>
      </c>
      <c r="I76" t="s">
        <v>43</v>
      </c>
      <c r="J76" t="s">
        <v>108</v>
      </c>
      <c r="K76" t="s">
        <v>269</v>
      </c>
      <c r="L76" t="s">
        <v>22</v>
      </c>
      <c r="M76" t="s">
        <v>22</v>
      </c>
      <c r="N76" t="s">
        <v>22</v>
      </c>
      <c r="P76" t="str">
        <f t="shared" si="2"/>
        <v>아침, 점심, 저녁</v>
      </c>
      <c r="Q76" t="str">
        <f t="shared" si="3"/>
        <v>{ 카테고리: "한식", 음식: "아욱국", 음식구분: "국/탕", 제철: "여름", 재료: "아욱, 된장, 마늘, 멸치육수", 식사구분: ["아침", "점심", "저녁"], 영양분류: "제철 채소+국물", 주재료분류: "채소", 조리방식: "국물", 조리시간: "20분", 알레르기: "대두, 생선" },</v>
      </c>
    </row>
    <row r="77" spans="2:17">
      <c r="B77" t="s">
        <v>57</v>
      </c>
      <c r="C77" t="s">
        <v>278</v>
      </c>
      <c r="D77" t="s">
        <v>59</v>
      </c>
      <c r="E77" t="s">
        <v>87</v>
      </c>
      <c r="F77" t="s">
        <v>279</v>
      </c>
      <c r="G77" t="s">
        <v>280</v>
      </c>
      <c r="H77" t="s">
        <v>51</v>
      </c>
      <c r="I77" t="s">
        <v>59</v>
      </c>
      <c r="J77" t="s">
        <v>72</v>
      </c>
      <c r="K77" t="s">
        <v>47</v>
      </c>
      <c r="M77" t="s">
        <v>22</v>
      </c>
      <c r="N77" t="s">
        <v>22</v>
      </c>
      <c r="P77" t="str">
        <f t="shared" si="2"/>
        <v>점심, 저녁</v>
      </c>
      <c r="Q77" t="str">
        <f t="shared" si="3"/>
        <v>{ 카테고리: "한식", 음식: "청국장찌개", 음식구분: "찌개", 제철: "겨울", 재료: "청국장, 두부, 김치, 대파", 식사구분: ["점심", "저녁"], 영양분류: "발효식품+국물", 주재료분류: "두부", 조리방식: "찌개", 조리시간: "25분", 알레르기: "대두" },</v>
      </c>
    </row>
    <row r="78" spans="2:17">
      <c r="B78" t="s">
        <v>57</v>
      </c>
      <c r="C78" t="s">
        <v>281</v>
      </c>
      <c r="D78" t="s">
        <v>59</v>
      </c>
      <c r="E78" t="s">
        <v>16</v>
      </c>
      <c r="F78" t="s">
        <v>282</v>
      </c>
      <c r="G78" t="s">
        <v>61</v>
      </c>
      <c r="H78" t="s">
        <v>51</v>
      </c>
      <c r="I78" t="s">
        <v>59</v>
      </c>
      <c r="J78" t="s">
        <v>108</v>
      </c>
      <c r="K78" t="s">
        <v>283</v>
      </c>
      <c r="L78" t="s">
        <v>22</v>
      </c>
      <c r="M78" t="s">
        <v>22</v>
      </c>
      <c r="N78" t="s">
        <v>22</v>
      </c>
      <c r="P78" t="str">
        <f t="shared" si="2"/>
        <v>아침, 점심, 저녁</v>
      </c>
      <c r="Q78" t="str">
        <f t="shared" si="3"/>
        <v>{ 카테고리: "한식", 음식: "순두부찌개", 음식구분: "찌개", 제철: "사계절", 재료: "순두부, 계란, 대파, 바지락", 식사구분: ["아침", "점심", "저녁"], 영양분류: "단백질+국물", 주재료분류: "두부", 조리방식: "찌개", 조리시간: "20분", 알레르기: "대두, 계란, 조개류" },</v>
      </c>
    </row>
    <row r="79" spans="2:17">
      <c r="B79" t="s">
        <v>57</v>
      </c>
      <c r="C79" t="s">
        <v>284</v>
      </c>
      <c r="D79" t="s">
        <v>59</v>
      </c>
      <c r="E79" t="s">
        <v>97</v>
      </c>
      <c r="F79" t="s">
        <v>285</v>
      </c>
      <c r="G79" t="s">
        <v>286</v>
      </c>
      <c r="H79" t="s">
        <v>178</v>
      </c>
      <c r="I79" t="s">
        <v>59</v>
      </c>
      <c r="J79" t="s">
        <v>72</v>
      </c>
      <c r="K79" t="s">
        <v>76</v>
      </c>
      <c r="M79" t="s">
        <v>22</v>
      </c>
      <c r="N79" t="s">
        <v>22</v>
      </c>
      <c r="P79" t="str">
        <f t="shared" si="2"/>
        <v>점심, 저녁</v>
      </c>
      <c r="Q79" t="str">
        <f t="shared" si="3"/>
        <v>{ 카테고리: "한식", 음식: "애호박찌개", 음식구분: "찌개", 제철: "여름", 재료: "애호박, 돼지고기, 양파, 대파", 식사구분: ["점심", "저녁"], 영양분류: "단백질+제철 채소", 주재료분류: "채소", 조리방식: "찌개", 조리시간: "25분", 알레르기: "없음" },</v>
      </c>
    </row>
    <row r="80" spans="2:17">
      <c r="B80" t="s">
        <v>57</v>
      </c>
      <c r="C80" t="s">
        <v>287</v>
      </c>
      <c r="D80" t="s">
        <v>125</v>
      </c>
      <c r="E80" t="s">
        <v>87</v>
      </c>
      <c r="F80" t="s">
        <v>288</v>
      </c>
      <c r="G80" t="s">
        <v>154</v>
      </c>
      <c r="H80" t="s">
        <v>125</v>
      </c>
      <c r="I80" t="s">
        <v>43</v>
      </c>
      <c r="J80" t="s">
        <v>62</v>
      </c>
      <c r="K80" t="s">
        <v>289</v>
      </c>
      <c r="M80" t="s">
        <v>22</v>
      </c>
      <c r="N80" t="s">
        <v>22</v>
      </c>
      <c r="P80" t="str">
        <f t="shared" si="2"/>
        <v>점심, 저녁</v>
      </c>
      <c r="Q80" t="str">
        <f t="shared" si="3"/>
        <v>{ 카테고리: "한식", 음식: "칼국수", 음식구분: "면", 제철: "겨울", 재료: "칼국수 면, 바지락, 애호박, 대파", 식사구분: ["점심", "저녁"], 영양분류: "탄수화물+국물", 주재료분류: "면", 조리방식: "국물", 조리시간: "30분", 알레르기: "밀, 조개류" },</v>
      </c>
    </row>
    <row r="81" spans="2:17">
      <c r="B81" t="s">
        <v>57</v>
      </c>
      <c r="C81" t="s">
        <v>290</v>
      </c>
      <c r="D81" t="s">
        <v>125</v>
      </c>
      <c r="E81" t="s">
        <v>97</v>
      </c>
      <c r="F81" t="s">
        <v>291</v>
      </c>
      <c r="G81" t="s">
        <v>195</v>
      </c>
      <c r="H81" t="s">
        <v>125</v>
      </c>
      <c r="I81" t="s">
        <v>68</v>
      </c>
      <c r="J81" t="s">
        <v>108</v>
      </c>
      <c r="K81" t="s">
        <v>151</v>
      </c>
      <c r="M81" t="s">
        <v>22</v>
      </c>
      <c r="N81" t="s">
        <v>22</v>
      </c>
      <c r="P81" t="str">
        <f t="shared" si="2"/>
        <v>점심, 저녁</v>
      </c>
      <c r="Q81" t="str">
        <f t="shared" si="3"/>
        <v>{ 카테고리: "한식", 음식: "비빔국수", 음식구분: "면", 제철: "여름", 재료: "소면, 오이, 계란, 김치", 식사구분: ["점심", "저녁"], 영양분류: "탄수화물+채소", 주재료분류: "면", 조리방식: "비빔", 조리시간: "20분", 알레르기: "밀, 계란" },</v>
      </c>
    </row>
    <row r="82" spans="2:17">
      <c r="B82" t="s">
        <v>57</v>
      </c>
      <c r="C82" t="s">
        <v>292</v>
      </c>
      <c r="D82" t="s">
        <v>125</v>
      </c>
      <c r="E82" t="s">
        <v>97</v>
      </c>
      <c r="F82" t="s">
        <v>293</v>
      </c>
      <c r="G82" t="s">
        <v>294</v>
      </c>
      <c r="H82" t="s">
        <v>125</v>
      </c>
      <c r="I82" t="s">
        <v>43</v>
      </c>
      <c r="J82" t="s">
        <v>108</v>
      </c>
      <c r="K82" t="s">
        <v>151</v>
      </c>
      <c r="M82" t="s">
        <v>22</v>
      </c>
      <c r="N82" t="s">
        <v>22</v>
      </c>
      <c r="P82" t="str">
        <f t="shared" si="2"/>
        <v>점심, 저녁</v>
      </c>
      <c r="Q82" t="str">
        <f t="shared" si="3"/>
        <v>{ 카테고리: "한식", 음식: "물냉면", 음식구분: "면", 제철: "여름", 재료: "냉면, 오이, 계란, 육수", 식사구분: ["점심", "저녁"], 영양분류: "시원한 면요리", 주재료분류: "면", 조리방식: "국물", 조리시간: "20분", 알레르기: "밀, 계란" },</v>
      </c>
    </row>
    <row r="83" spans="2:17">
      <c r="B83" t="s">
        <v>57</v>
      </c>
      <c r="C83" t="s">
        <v>295</v>
      </c>
      <c r="D83" t="s">
        <v>64</v>
      </c>
      <c r="E83" t="s">
        <v>87</v>
      </c>
      <c r="F83" t="s">
        <v>296</v>
      </c>
      <c r="G83" t="s">
        <v>154</v>
      </c>
      <c r="H83" t="s">
        <v>297</v>
      </c>
      <c r="I83" t="s">
        <v>43</v>
      </c>
      <c r="J83" t="s">
        <v>108</v>
      </c>
      <c r="K83" t="s">
        <v>151</v>
      </c>
      <c r="L83" t="s">
        <v>22</v>
      </c>
      <c r="M83" t="s">
        <v>22</v>
      </c>
      <c r="N83" t="s">
        <v>22</v>
      </c>
      <c r="P83" t="str">
        <f t="shared" si="2"/>
        <v>아침, 점심, 저녁</v>
      </c>
      <c r="Q83" t="str">
        <f t="shared" si="3"/>
        <v>{ 카테고리: "한식", 음식: "만둣국", 음식구분: "메인반찬", 제철: "겨울", 재료: "만두, 계란, 대파, 육수", 식사구분: ["아침", "점심", "저녁"], 영양분류: "탄수화물+국물", 주재료분류: "만두", 조리방식: "국물", 조리시간: "20분", 알레르기: "밀, 계란" },</v>
      </c>
    </row>
    <row r="84" spans="2:17">
      <c r="B84" t="s">
        <v>57</v>
      </c>
      <c r="C84" t="s">
        <v>298</v>
      </c>
      <c r="D84" t="s">
        <v>299</v>
      </c>
      <c r="E84" t="s">
        <v>16</v>
      </c>
      <c r="F84" t="s">
        <v>300</v>
      </c>
      <c r="G84" t="s">
        <v>301</v>
      </c>
      <c r="H84" t="s">
        <v>178</v>
      </c>
      <c r="I84" t="s">
        <v>302</v>
      </c>
      <c r="J84" t="s">
        <v>303</v>
      </c>
      <c r="K84" t="s">
        <v>55</v>
      </c>
      <c r="L84" t="s">
        <v>22</v>
      </c>
      <c r="M84" t="s">
        <v>22</v>
      </c>
      <c r="N84" t="s">
        <v>22</v>
      </c>
      <c r="P84" t="str">
        <f t="shared" si="2"/>
        <v>아침, 점심, 저녁</v>
      </c>
      <c r="Q84" t="str">
        <f t="shared" si="3"/>
        <v>{ 카테고리: "한식", 음식: "배추김치", 음식구분: "김치/젓갈/장", 제철: "사계절", 재료: "배추, 고춧가루, 마늘, 젓갈", 식사구분: ["아침", "점심", "저녁"], 영양분류: "발효식품", 주재료분류: "채소", 조리방식: "김치", 조리시간: "준비식", 알레르기: "생선" },</v>
      </c>
    </row>
    <row r="85" spans="2:17">
      <c r="B85" t="s">
        <v>57</v>
      </c>
      <c r="C85" t="s">
        <v>304</v>
      </c>
      <c r="D85" t="s">
        <v>299</v>
      </c>
      <c r="E85" t="s">
        <v>97</v>
      </c>
      <c r="F85" t="s">
        <v>305</v>
      </c>
      <c r="G85" t="s">
        <v>306</v>
      </c>
      <c r="H85" t="s">
        <v>178</v>
      </c>
      <c r="I85" t="s">
        <v>302</v>
      </c>
      <c r="J85" t="s">
        <v>303</v>
      </c>
      <c r="K85" t="s">
        <v>76</v>
      </c>
      <c r="L85" t="s">
        <v>22</v>
      </c>
      <c r="M85" t="s">
        <v>22</v>
      </c>
      <c r="N85" t="s">
        <v>22</v>
      </c>
      <c r="P85" t="str">
        <f t="shared" si="2"/>
        <v>아침, 점심, 저녁</v>
      </c>
      <c r="Q85" t="str">
        <f t="shared" si="3"/>
        <v>{ 카테고리: "한식", 음식: "열무김치", 음식구분: "김치/젓갈/장", 제철: "여름", 재료: "열무, 고춧가루, 마늘, 생강", 식사구분: ["아침", "점심", "저녁"], 영양분류: "발효식품+제철 채소", 주재료분류: "채소", 조리방식: "김치", 조리시간: "준비식", 알레르기: "없음" },</v>
      </c>
    </row>
    <row r="86" spans="2:17">
      <c r="B86" t="s">
        <v>57</v>
      </c>
      <c r="C86" t="s">
        <v>307</v>
      </c>
      <c r="D86" t="s">
        <v>299</v>
      </c>
      <c r="E86" t="s">
        <v>258</v>
      </c>
      <c r="F86" t="s">
        <v>308</v>
      </c>
      <c r="G86" t="s">
        <v>301</v>
      </c>
      <c r="H86" t="s">
        <v>178</v>
      </c>
      <c r="I86" t="s">
        <v>302</v>
      </c>
      <c r="J86" t="s">
        <v>303</v>
      </c>
      <c r="K86" t="s">
        <v>55</v>
      </c>
      <c r="L86" t="s">
        <v>22</v>
      </c>
      <c r="M86" t="s">
        <v>22</v>
      </c>
      <c r="N86" t="s">
        <v>22</v>
      </c>
      <c r="P86" t="str">
        <f t="shared" si="2"/>
        <v>아침, 점심, 저녁</v>
      </c>
      <c r="Q86" t="str">
        <f t="shared" si="3"/>
        <v>{ 카테고리: "한식", 음식: "깍두기", 음식구분: "김치/젓갈/장", 제철: "가을", 재료: "무, 고춧가루, 대파, 젓갈", 식사구분: ["아침", "점심", "저녁"], 영양분류: "발효식품", 주재료분류: "채소", 조리방식: "김치", 조리시간: "준비식", 알레르기: "생선" },</v>
      </c>
    </row>
    <row r="87" spans="2:17">
      <c r="B87" t="s">
        <v>57</v>
      </c>
      <c r="C87" t="s">
        <v>309</v>
      </c>
      <c r="D87" t="s">
        <v>299</v>
      </c>
      <c r="E87" t="s">
        <v>16</v>
      </c>
      <c r="F87" t="s">
        <v>310</v>
      </c>
      <c r="G87" t="s">
        <v>311</v>
      </c>
      <c r="H87" t="s">
        <v>129</v>
      </c>
      <c r="I87" t="s">
        <v>231</v>
      </c>
      <c r="J87" t="s">
        <v>27</v>
      </c>
      <c r="K87" t="s">
        <v>312</v>
      </c>
      <c r="L87" t="s">
        <v>22</v>
      </c>
      <c r="M87" t="s">
        <v>22</v>
      </c>
      <c r="N87" t="s">
        <v>22</v>
      </c>
      <c r="P87" t="str">
        <f t="shared" si="2"/>
        <v>아침, 점심, 저녁</v>
      </c>
      <c r="Q87" t="str">
        <f t="shared" si="3"/>
        <v>{ 카테고리: "한식", 음식: "오징어젓갈", 음식구분: "김치/젓갈/장", 제철: "사계절", 재료: "오징어젓갈, 참기름, 깨", 식사구분: ["아침", "점심", "저녁"], 영양분류: "젓갈", 주재료분류: "해산물", 조리방식: "무침", 조리시간: "5분", 알레르기: "오징어, 참깨" },</v>
      </c>
    </row>
    <row r="88" spans="2:17">
      <c r="B88" t="s">
        <v>57</v>
      </c>
      <c r="C88" t="s">
        <v>313</v>
      </c>
      <c r="D88" t="s">
        <v>299</v>
      </c>
      <c r="E88" t="s">
        <v>97</v>
      </c>
      <c r="F88" t="s">
        <v>314</v>
      </c>
      <c r="G88" t="s">
        <v>315</v>
      </c>
      <c r="H88" t="s">
        <v>178</v>
      </c>
      <c r="I88" t="s">
        <v>316</v>
      </c>
      <c r="J88" t="s">
        <v>303</v>
      </c>
      <c r="K88" t="s">
        <v>47</v>
      </c>
      <c r="L88" t="s">
        <v>22</v>
      </c>
      <c r="M88" t="s">
        <v>22</v>
      </c>
      <c r="N88" t="s">
        <v>22</v>
      </c>
      <c r="P88" t="str">
        <f t="shared" si="2"/>
        <v>아침, 점심, 저녁</v>
      </c>
      <c r="Q88" t="str">
        <f t="shared" si="3"/>
        <v>{ 카테고리: "한식", 음식: "깻잎장아찌", 음식구분: "김치/젓갈/장", 제철: "여름", 재료: "깻잎, 간장, 마늘, 고춧가루", 식사구분: ["아침", "점심", "저녁"], 영양분류: "장아찌", 주재료분류: "채소", 조리방식: "절임", 조리시간: "준비식", 알레르기: "대두" },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>
      <selection activeCell="C10" sqref="C10"/>
    </sheetView>
  </sheetViews>
  <sheetFormatPr defaultRowHeight="14.25"/>
  <cols>
    <col min="1" max="1" width="16" customWidth="1"/>
    <col min="2" max="8" width="18" customWidth="1"/>
  </cols>
  <sheetData>
    <row r="1" spans="1:8" ht="20.25">
      <c r="A1" s="6" t="s">
        <v>317</v>
      </c>
      <c r="B1" s="6"/>
      <c r="C1" s="6"/>
      <c r="D1" s="6"/>
      <c r="E1" s="6"/>
      <c r="F1" s="6"/>
      <c r="G1" s="6"/>
      <c r="H1" s="6"/>
    </row>
    <row r="2" spans="1:8">
      <c r="A2" s="2"/>
      <c r="B2" s="2"/>
      <c r="C2" s="2"/>
      <c r="D2" s="2"/>
      <c r="E2" s="2"/>
      <c r="F2" s="2"/>
      <c r="G2" s="2"/>
      <c r="H2" s="2"/>
    </row>
    <row r="3" spans="1:8" ht="15">
      <c r="A3" s="3" t="s">
        <v>318</v>
      </c>
      <c r="B3" s="4">
        <f>COUNTA(음식DB!$C$2:$C$500)</f>
        <v>87</v>
      </c>
      <c r="C3" s="2"/>
      <c r="D3" s="1" t="s">
        <v>319</v>
      </c>
      <c r="E3" s="1" t="s">
        <v>320</v>
      </c>
      <c r="F3" s="2"/>
      <c r="G3" s="1" t="s">
        <v>321</v>
      </c>
      <c r="H3" s="1" t="s">
        <v>320</v>
      </c>
    </row>
    <row r="4" spans="1:8" ht="15">
      <c r="A4" s="3" t="s">
        <v>322</v>
      </c>
      <c r="B4" s="4">
        <f>COUNTIF(음식DB!$B$2:$B$500,"한식")</f>
        <v>51</v>
      </c>
      <c r="C4" s="2"/>
      <c r="D4" s="2" t="s">
        <v>14</v>
      </c>
      <c r="E4" s="2">
        <f>COUNTIF(음식DB!$B$2:$B$500,D4)</f>
        <v>8</v>
      </c>
      <c r="F4" s="2"/>
      <c r="G4" s="2" t="s">
        <v>14</v>
      </c>
      <c r="H4" s="2">
        <f>COUNTIF(음식DB!$D$2:$D$500,G4)</f>
        <v>8</v>
      </c>
    </row>
    <row r="5" spans="1:8" ht="15">
      <c r="A5" s="3" t="s">
        <v>323</v>
      </c>
      <c r="B5" s="4">
        <f>COUNTIF(음식DB!$L$2:$L$500,"Y")</f>
        <v>32</v>
      </c>
      <c r="C5" s="2"/>
      <c r="D5" s="2" t="s">
        <v>181</v>
      </c>
      <c r="E5" s="2">
        <f>COUNTIF(음식DB!$B$2:$B$500,D5)</f>
        <v>5</v>
      </c>
      <c r="F5" s="2"/>
      <c r="G5" s="2" t="s">
        <v>86</v>
      </c>
      <c r="H5" s="2">
        <f>COUNTIF(음식DB!$D$2:$D$500,G5)</f>
        <v>10</v>
      </c>
    </row>
    <row r="6" spans="1:8" ht="15">
      <c r="A6" s="3" t="s">
        <v>324</v>
      </c>
      <c r="B6" s="4">
        <f>COUNTIF(음식DB!$M$2:$M$500,"Y")</f>
        <v>79</v>
      </c>
      <c r="C6" s="2"/>
      <c r="D6" s="2" t="s">
        <v>196</v>
      </c>
      <c r="E6" s="2">
        <f>COUNTIF(음식DB!$B$2:$B$500,D6)</f>
        <v>5</v>
      </c>
      <c r="F6" s="2"/>
      <c r="G6" s="2" t="s">
        <v>299</v>
      </c>
      <c r="H6" s="2">
        <f>COUNTIF(음식DB!$D$2:$D$500,G6)</f>
        <v>5</v>
      </c>
    </row>
    <row r="7" spans="1:8" ht="15">
      <c r="A7" s="3" t="s">
        <v>325</v>
      </c>
      <c r="B7" s="4">
        <f>COUNTIF(음식DB!$N$2:$N$500,"Y")</f>
        <v>79</v>
      </c>
      <c r="C7" s="2"/>
      <c r="D7" s="2" t="s">
        <v>166</v>
      </c>
      <c r="E7" s="2">
        <f>COUNTIF(음식DB!$B$2:$B$500,D7)</f>
        <v>6</v>
      </c>
      <c r="F7" s="2"/>
      <c r="G7" s="2" t="s">
        <v>64</v>
      </c>
      <c r="H7" s="2">
        <f>COUNTIF(음식DB!$D$2:$D$500,G7)</f>
        <v>38</v>
      </c>
    </row>
    <row r="8" spans="1:8" ht="16.5">
      <c r="A8" s="2"/>
      <c r="B8" s="2"/>
      <c r="C8" s="2"/>
      <c r="D8" s="2" t="s">
        <v>145</v>
      </c>
      <c r="E8" s="2">
        <f>COUNTIF(음식DB!$B$2:$B$500,D8)</f>
        <v>6</v>
      </c>
      <c r="F8" s="2"/>
      <c r="G8" s="9" t="s">
        <v>340</v>
      </c>
      <c r="H8" s="2">
        <f>COUNTIF(음식DB!$D$2:$D$500,G8)</f>
        <v>9</v>
      </c>
    </row>
    <row r="9" spans="1:8">
      <c r="A9" s="2"/>
      <c r="B9" s="2"/>
      <c r="C9" s="2"/>
      <c r="D9" s="2" t="s">
        <v>121</v>
      </c>
      <c r="E9" s="2">
        <f>COUNTIF(음식DB!$B$2:$B$500,D9)</f>
        <v>6</v>
      </c>
      <c r="F9" s="2"/>
      <c r="G9" s="2" t="s">
        <v>228</v>
      </c>
      <c r="H9" s="2">
        <f>COUNTIF(음식DB!$D$2:$D$500,G9)</f>
        <v>11</v>
      </c>
    </row>
    <row r="10" spans="1:8">
      <c r="A10" s="2"/>
      <c r="B10" s="2"/>
      <c r="C10" s="2"/>
      <c r="D10" s="2" t="s">
        <v>57</v>
      </c>
      <c r="E10" s="2">
        <f>COUNTIF(음식DB!$B$2:$B$500,D10)</f>
        <v>51</v>
      </c>
      <c r="F10" s="2"/>
      <c r="G10" s="2" t="s">
        <v>59</v>
      </c>
      <c r="H10" s="2">
        <f>COUNTIF(음식DB!$D$2:$D$500,G10)</f>
        <v>6</v>
      </c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 ht="15">
      <c r="A13" s="1" t="s">
        <v>326</v>
      </c>
      <c r="B13" s="1" t="s">
        <v>320</v>
      </c>
      <c r="C13" s="2"/>
      <c r="D13" s="1"/>
      <c r="E13" s="1"/>
      <c r="F13" s="2"/>
      <c r="G13" s="2"/>
      <c r="H13" s="2"/>
    </row>
    <row r="14" spans="1:8">
      <c r="A14" s="2" t="s">
        <v>119</v>
      </c>
      <c r="B14" s="2">
        <f>COUNTIF(음식DB!$E$2:$E$500,A14)</f>
        <v>1</v>
      </c>
      <c r="C14" s="2"/>
      <c r="D14" s="2"/>
      <c r="E14" s="2"/>
      <c r="F14" s="2"/>
      <c r="G14" s="2"/>
      <c r="H14" s="2"/>
    </row>
    <row r="15" spans="1:8">
      <c r="A15" s="2" t="s">
        <v>113</v>
      </c>
      <c r="B15" s="2">
        <f>COUNTIF(음식DB!$E$2:$E$500,A15)</f>
        <v>1</v>
      </c>
      <c r="C15" s="2"/>
      <c r="D15" s="2"/>
      <c r="E15" s="2"/>
      <c r="F15" s="2"/>
      <c r="G15" s="2"/>
      <c r="H15" s="2"/>
    </row>
    <row r="16" spans="1:8">
      <c r="A16" s="2" t="s">
        <v>116</v>
      </c>
      <c r="B16" s="2">
        <f>COUNTIF(음식DB!$E$2:$E$500,A16)</f>
        <v>1</v>
      </c>
      <c r="C16" s="2"/>
      <c r="D16" s="2"/>
      <c r="E16" s="2"/>
      <c r="F16" s="2"/>
      <c r="G16" s="2"/>
      <c r="H16" s="2"/>
    </row>
    <row r="17" spans="1:8">
      <c r="A17" s="2" t="s">
        <v>110</v>
      </c>
      <c r="B17" s="2">
        <f>COUNTIF(음식DB!$E$2:$E$500,A17)</f>
        <v>2</v>
      </c>
      <c r="C17" s="2"/>
      <c r="D17" s="2"/>
      <c r="E17" s="2"/>
      <c r="F17" s="2"/>
      <c r="G17" s="2"/>
      <c r="H17" s="2"/>
    </row>
    <row r="18" spans="1:8">
      <c r="A18" s="2" t="s">
        <v>224</v>
      </c>
      <c r="B18" s="2">
        <f>COUNTIF(음식DB!$E$2:$E$500,A18)</f>
        <v>1</v>
      </c>
      <c r="C18" s="2"/>
      <c r="D18" s="2"/>
      <c r="E18" s="2"/>
      <c r="F18" s="2"/>
      <c r="G18" s="2"/>
      <c r="H18" s="2"/>
    </row>
    <row r="19" spans="1:8">
      <c r="A19" s="2" t="s">
        <v>105</v>
      </c>
      <c r="B19" s="2">
        <f>COUNTIF(음식DB!$E$2:$E$500,A19)</f>
        <v>1</v>
      </c>
      <c r="C19" s="2"/>
      <c r="D19" s="2"/>
      <c r="E19" s="2"/>
      <c r="F19" s="2"/>
      <c r="G19" s="2"/>
      <c r="H19" s="2"/>
    </row>
    <row r="20" spans="1:8">
      <c r="A20" s="2" t="s">
        <v>258</v>
      </c>
      <c r="B20" s="2">
        <f>COUNTIF(음식DB!$E$2:$E$500,A20)</f>
        <v>2</v>
      </c>
      <c r="C20" s="2"/>
      <c r="D20" s="2"/>
      <c r="E20" s="2"/>
      <c r="F20" s="2"/>
      <c r="G20" s="2"/>
      <c r="H20" s="2"/>
    </row>
    <row r="21" spans="1:8">
      <c r="A21" s="2" t="s">
        <v>87</v>
      </c>
      <c r="B21" s="2">
        <f>COUNTIF(음식DB!$E$2:$E$500,A21)</f>
        <v>7</v>
      </c>
      <c r="C21" s="2"/>
      <c r="D21" s="2"/>
      <c r="E21" s="2"/>
      <c r="F21" s="2"/>
      <c r="G21" s="2"/>
      <c r="H21" s="2"/>
    </row>
    <row r="22" spans="1:8">
      <c r="A22" s="2" t="s">
        <v>240</v>
      </c>
      <c r="B22" s="2">
        <f>COUNTIF(음식DB!$E$2:$E$500,A22)</f>
        <v>4</v>
      </c>
      <c r="C22" s="2"/>
      <c r="D22" s="2"/>
      <c r="E22" s="2"/>
      <c r="F22" s="2"/>
      <c r="G22" s="2"/>
      <c r="H22" s="2"/>
    </row>
    <row r="23" spans="1:8">
      <c r="A23" s="2" t="s">
        <v>16</v>
      </c>
      <c r="B23" s="2">
        <f>COUNTIF(음식DB!$E$2:$E$500,A23)</f>
        <v>55</v>
      </c>
      <c r="C23" s="2"/>
      <c r="D23" s="2"/>
      <c r="E23" s="2"/>
      <c r="F23" s="2"/>
      <c r="G23" s="2"/>
      <c r="H23" s="2"/>
    </row>
    <row r="24" spans="1:8">
      <c r="A24" s="2" t="s">
        <v>97</v>
      </c>
      <c r="B24" s="2">
        <f>COUNTIF(음식DB!$E$2:$E$500,A24)</f>
        <v>12</v>
      </c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 ht="15">
      <c r="A27" s="7" t="s">
        <v>329</v>
      </c>
      <c r="B27" s="7"/>
      <c r="C27" s="7"/>
      <c r="D27" s="7"/>
      <c r="E27" s="7"/>
      <c r="F27" s="7"/>
      <c r="G27" s="7"/>
      <c r="H27" s="7"/>
    </row>
    <row r="28" spans="1:8" ht="42.75">
      <c r="A28" s="5" t="s">
        <v>330</v>
      </c>
      <c r="B28" s="5" t="s">
        <v>331</v>
      </c>
      <c r="C28" s="5"/>
      <c r="D28" s="5"/>
      <c r="E28" s="5"/>
      <c r="F28" s="5"/>
      <c r="G28" s="5"/>
      <c r="H28" s="5"/>
    </row>
    <row r="29" spans="1:8" ht="85.5">
      <c r="A29" s="5" t="s">
        <v>332</v>
      </c>
      <c r="B29" s="5" t="s">
        <v>333</v>
      </c>
      <c r="C29" s="5"/>
      <c r="D29" s="5"/>
      <c r="E29" s="5"/>
      <c r="F29" s="5"/>
      <c r="G29" s="5"/>
      <c r="H29" s="5"/>
    </row>
    <row r="30" spans="1:8" ht="57">
      <c r="A30" s="5" t="s">
        <v>334</v>
      </c>
      <c r="B30" s="5" t="s">
        <v>335</v>
      </c>
      <c r="C30" s="5"/>
      <c r="D30" s="5"/>
      <c r="E30" s="5"/>
      <c r="F30" s="5"/>
      <c r="G30" s="5"/>
      <c r="H30" s="5"/>
    </row>
    <row r="31" spans="1:8" ht="71.25">
      <c r="A31" s="5" t="s">
        <v>336</v>
      </c>
      <c r="B31" s="5" t="s">
        <v>337</v>
      </c>
      <c r="C31" s="5"/>
      <c r="D31" s="5"/>
      <c r="E31" s="5"/>
      <c r="F31" s="5"/>
      <c r="G31" s="5"/>
      <c r="H31" s="5"/>
    </row>
    <row r="32" spans="1:8" ht="57">
      <c r="A32" s="5" t="s">
        <v>338</v>
      </c>
      <c r="B32" s="5" t="s">
        <v>339</v>
      </c>
      <c r="C32" s="5"/>
      <c r="D32" s="5"/>
      <c r="E32" s="5"/>
      <c r="F32" s="5"/>
      <c r="G32" s="5"/>
      <c r="H32" s="5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mergeCells count="2">
    <mergeCell ref="A1:H1"/>
    <mergeCell ref="A27:H27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음식DB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Won-Yeong SEO</cp:lastModifiedBy>
  <dcterms:modified xsi:type="dcterms:W3CDTF">2026-05-18T06:03:16Z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43eb18-719e-4832-abe4-f496d7982a28_Enabled">
    <vt:lpwstr>true</vt:lpwstr>
  </property>
  <property fmtid="{D5CDD505-2E9C-101B-9397-08002B2CF9AE}" pid="3" name="MSIP_Label_c643eb18-719e-4832-abe4-f496d7982a28_SetDate">
    <vt:lpwstr>2026-05-18T05:56:46Z</vt:lpwstr>
  </property>
  <property fmtid="{D5CDD505-2E9C-101B-9397-08002B2CF9AE}" pid="4" name="MSIP_Label_c643eb18-719e-4832-abe4-f496d7982a28_Method">
    <vt:lpwstr>Standard</vt:lpwstr>
  </property>
  <property fmtid="{D5CDD505-2E9C-101B-9397-08002B2CF9AE}" pid="5" name="MSIP_Label_c643eb18-719e-4832-abe4-f496d7982a28_Name">
    <vt:lpwstr>Public</vt:lpwstr>
  </property>
  <property fmtid="{D5CDD505-2E9C-101B-9397-08002B2CF9AE}" pid="6" name="MSIP_Label_c643eb18-719e-4832-abe4-f496d7982a28_SiteId">
    <vt:lpwstr>020c1c72-02b4-48b5-8002-7ae1dd69f78a</vt:lpwstr>
  </property>
  <property fmtid="{D5CDD505-2E9C-101B-9397-08002B2CF9AE}" pid="7" name="MSIP_Label_c643eb18-719e-4832-abe4-f496d7982a28_ActionId">
    <vt:lpwstr>5e4ffb56-cad2-4296-9c2b-423affeff0a9</vt:lpwstr>
  </property>
  <property fmtid="{D5CDD505-2E9C-101B-9397-08002B2CF9AE}" pid="8" name="MSIP_Label_c643eb18-719e-4832-abe4-f496d7982a28_ContentBits">
    <vt:lpwstr>0</vt:lpwstr>
  </property>
</Properties>
</file>